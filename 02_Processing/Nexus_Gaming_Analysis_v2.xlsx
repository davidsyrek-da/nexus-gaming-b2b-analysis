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https://d.docs.live.net/c1b8b0ebbab43d41/Data Aanyltics/Study/Nexus_Gaming_Analysis/02_Processing/"/>
    </mc:Choice>
  </mc:AlternateContent>
  <xr:revisionPtr revIDLastSave="1" documentId="8_{BEEF2C41-4AEF-4906-BF2F-BF62399F4E2D}" xr6:coauthVersionLast="47" xr6:coauthVersionMax="47" xr10:uidLastSave="{DA71A306-379C-411B-9A6B-8AB88D41C557}"/>
  <bookViews>
    <workbookView xWindow="-110" yWindow="-110" windowWidth="25820" windowHeight="15500" xr2:uid="{00000000-000D-0000-FFFF-FFFF00000000}"/>
  </bookViews>
  <sheets>
    <sheet name="Dashboard" sheetId="1" r:id="rId1"/>
    <sheet name="Calculation_Sheet" sheetId="2" state="hidden" r:id="rId2"/>
  </sheets>
  <definedNames>
    <definedName name="Slicer_Region">#N/A</definedName>
  </definedNames>
  <calcPr calcId="191029"/>
  <pivotCaches>
    <pivotCache cacheId="0" r:id="rId3"/>
    <pivotCache cacheId="1" r:id="rId4"/>
    <pivotCache cacheId="2" r:id="rId5"/>
  </pivotCaches>
  <extLst>
    <ext xmlns:x14="http://schemas.microsoft.com/office/spreadsheetml/2009/9/main" uri="{876F7934-8845-4945-9796-88D515C7AA90}">
      <x14:pivotCaches>
        <pivotCache cacheId="3" r:id="rId6"/>
      </x14:pivotCaches>
    </ex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lients_be646fd3-9bd9-444f-8bd0-80b876952d4c" name="Clients" connection="Query - Clients"/>
          <x15:modelTable id="Products_fd5d8677-ee29-406c-aeb2-350d3a6fa60d" name="Products" connection="Query - Products"/>
          <x15:modelTable id="Sales_f14040e0-dcbd-4fc7-a562-09b4388a7e1d" name="Sales" connection="Query - Sales"/>
          <x15:modelTable id="Feedback_1316c7af-a3ee-4969-b9a4-acd90de23f40" name="Feedback" connection="Query - Feedback"/>
          <x15:modelTable id="Calendar_b6918bb4-2a30-44f3-a277-847eb4b8999b" name="Calendar" connection="Query - Calendar"/>
        </x15:modelTables>
        <x15:modelRelationships>
          <x15:modelRelationship fromTable="Sales" fromColumn="Product_ID" toTable="Products" toColumn="Product_ID"/>
          <x15:modelRelationship fromTable="Sales" fromColumn="Client_ID" toTable="Clients" toColumn="Client_ID"/>
          <x15:modelRelationship fromTable="Sales" fromColumn="Order_Date" toTable="Calendar" toColumn="Calendar"/>
          <x15:modelRelationship fromTable="Sales" fromColumn="Transaction_ID" toTable="Feedback" toColumn="Transaction_ID"/>
        </x15:modelRelationships>
        <x15:extLst>
          <ext xmlns:x16="http://schemas.microsoft.com/office/spreadsheetml/2014/11/main" uri="{9835A34E-60A6-4A7C-AAB8-D5F71C897F49}">
            <x16:modelTimeGroupings>
              <x16:modelTimeGrouping tableName="Calendar" columnName="Calendar" columnId="Calendar">
                <x16:calculatedTimeColumn columnName="Calendar (Month Index)" columnId="Calendar (Month Index)" contentType="monthsindex" isSelected="1"/>
                <x16:calculatedTimeColumn columnName="Calendar (Month)" columnId="Calendar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 i="1" l="1"/>
  <c r="B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3453EF-7248-459D-8743-01917D4B1DC6}" name="Query - Calendar" description="Connection to the 'Calendar' query in the workbook." type="100" refreshedVersion="8" minRefreshableVersion="5">
    <extLst>
      <ext xmlns:x15="http://schemas.microsoft.com/office/spreadsheetml/2010/11/main" uri="{DE250136-89BD-433C-8126-D09CA5730AF9}">
        <x15:connection id="140bd85e-a34a-4088-97bc-f59da5739ee4"/>
      </ext>
    </extLst>
  </connection>
  <connection id="2" xr16:uid="{D092DEF3-D835-40E7-9D61-7095883915DF}" name="Query - Clients" description="Connection to the 'Clients' query in the workbook." type="100" refreshedVersion="8" minRefreshableVersion="5">
    <extLst>
      <ext xmlns:x15="http://schemas.microsoft.com/office/spreadsheetml/2010/11/main" uri="{DE250136-89BD-433C-8126-D09CA5730AF9}">
        <x15:connection id="79705e2a-a644-4ff9-81fe-43bc5383c4a9"/>
      </ext>
    </extLst>
  </connection>
  <connection id="3" xr16:uid="{5668979D-E7BF-45CB-954E-460169057F73}" name="Query - Feedback" description="Connection to the 'Feedback' query in the workbook." type="100" refreshedVersion="8" minRefreshableVersion="5">
    <extLst>
      <ext xmlns:x15="http://schemas.microsoft.com/office/spreadsheetml/2010/11/main" uri="{DE250136-89BD-433C-8126-D09CA5730AF9}">
        <x15:connection id="2eabb503-1331-4777-b0f6-10fd7b1e1dec"/>
      </ext>
    </extLst>
  </connection>
  <connection id="4" xr16:uid="{800C9387-2523-40DE-B113-64BEF2B4BB44}" name="Query - Products" description="Connection to the 'Products' query in the workbook." type="100" refreshedVersion="8" minRefreshableVersion="5">
    <extLst>
      <ext xmlns:x15="http://schemas.microsoft.com/office/spreadsheetml/2010/11/main" uri="{DE250136-89BD-433C-8126-D09CA5730AF9}">
        <x15:connection id="dddbc24e-ac2a-4b28-a057-da5cfb36342d"/>
      </ext>
    </extLst>
  </connection>
  <connection id="5" xr16:uid="{6FA90EF7-11D5-4B5D-98AC-99330A9C21BB}" name="Query - Sales" description="Connection to the 'Sales' query in the workbook." type="100" refreshedVersion="8" minRefreshableVersion="5">
    <extLst>
      <ext xmlns:x15="http://schemas.microsoft.com/office/spreadsheetml/2010/11/main" uri="{DE250136-89BD-433C-8126-D09CA5730AF9}">
        <x15:connection id="3eb91d10-9816-437e-958b-73d9250bfd73"/>
      </ext>
    </extLst>
  </connection>
  <connection id="6" xr16:uid="{246F7954-C808-4B0A-8F6A-830C25BA4E8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<sst xmlns="http://schemas.openxmlformats.org/spreadsheetml/2006/main" count="24" uniqueCount="20">
  <si>
    <t>NEXUS GAMING - B2B PERFORMANCE</t>
  </si>
  <si>
    <t>Total Revenue</t>
  </si>
  <si>
    <t>Gross Profit</t>
  </si>
  <si>
    <t>Avg Customer Rating</t>
  </si>
  <si>
    <t>Row Labels</t>
  </si>
  <si>
    <t>Grand Total</t>
  </si>
  <si>
    <t>Jan</t>
  </si>
  <si>
    <t>Feb</t>
  </si>
  <si>
    <t>Mar</t>
  </si>
  <si>
    <t>Apr</t>
  </si>
  <si>
    <t>May</t>
  </si>
  <si>
    <t>Jun</t>
  </si>
  <si>
    <t>Jul</t>
  </si>
  <si>
    <t>ASUS ROG Ally X</t>
  </si>
  <si>
    <t>RTX 4070 Super</t>
  </si>
  <si>
    <t>RTX 4090 Extreme</t>
  </si>
  <si>
    <t>RX 7900 XTX</t>
  </si>
  <si>
    <t>Xbox Series X</t>
  </si>
  <si>
    <t>TOTAL REVENUE</t>
  </si>
  <si>
    <t>AVERAGE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</si>
</sst>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26"/>
      <color theme="1"/>
      <name val="Calibri"/>
      <family val="2"/>
      <charset val="238"/>
      <scheme val="minor"/>
    </font>
    <font>
      <b/>
      <sz val="22"/>
      <color theme="4" tint="-0.249977111117893"/>
      <name val="Calibri"/>
      <family val="2"/>
      <charset val="238"/>
      <scheme val="minor"/>
    </font>
    <font>
      <b/>
      <sz val="16"/>
      <color theme="1"/>
      <name val="Calibri"/>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pivotCacheDefinition" Target="pivotCache/pivotCacheDefinition1.xml"/><Relationship Id="rId21" Type="http://schemas.openxmlformats.org/officeDocument/2006/relationships/customXml" Target="../customXml/item8.xml"/><Relationship Id="rId34" Type="http://schemas.openxmlformats.org/officeDocument/2006/relationships/customXml" Target="../customXml/item21.xml"/><Relationship Id="rId7" Type="http://schemas.microsoft.com/office/2007/relationships/slicerCache" Target="slicerCaches/slicerCache1.xml"/><Relationship Id="rId12" Type="http://schemas.openxmlformats.org/officeDocument/2006/relationships/powerPivotData" Target="model/item.data"/><Relationship Id="rId17" Type="http://schemas.openxmlformats.org/officeDocument/2006/relationships/customXml" Target="../customXml/item4.xml"/><Relationship Id="rId25" Type="http://schemas.openxmlformats.org/officeDocument/2006/relationships/customXml" Target="../customXml/item12.xml"/><Relationship Id="rId33"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sharedStrings" Target="sharedStrings.xml"/><Relationship Id="rId24" Type="http://schemas.openxmlformats.org/officeDocument/2006/relationships/customXml" Target="../customXml/item11.xml"/><Relationship Id="rId32" Type="http://schemas.openxmlformats.org/officeDocument/2006/relationships/customXml" Target="../customXml/item19.xml"/><Relationship Id="rId5" Type="http://schemas.openxmlformats.org/officeDocument/2006/relationships/pivotCacheDefinition" Target="pivotCache/pivotCacheDefinition3.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styles" Target="style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pivotCacheDefinition" Target="pivotCache/pivotCacheDefinition2.xml"/><Relationship Id="rId9" Type="http://schemas.openxmlformats.org/officeDocument/2006/relationships/connections" Target="connections.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 Id="rId35" Type="http://schemas.openxmlformats.org/officeDocument/2006/relationships/customXml" Target="../customXml/item22.xml"/><Relationship Id="rId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[Nexus_Gaming_Analysis_v2.xlsx]Calculation_Sheet!PivotTable2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Monthly Revenue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Calculation_Sheet!$B$10</c:f>
              <c:strCache>
                <c:ptCount val="1"/>
                <c:pt idx="0">
                  <c:v>Total</c:v>
                </c:pt>
              </c:strCache>
            </c:strRef>
          </c:tx>
          <c:spPr>
            <a:ln w="28575" cap="rnd">
              <a:solidFill>
                <a:schemeClr val="accent1"/>
              </a:solidFill>
              <a:round/>
            </a:ln>
            <a:effectLst/>
          </c:spPr>
          <c:marker>
            <c:symbol val="none"/>
          </c:marker>
          <c:cat>
            <c:strRef>
              <c:f>Calculation_Sheet!$A$11:$A$18</c:f>
              <c:strCache>
                <c:ptCount val="7"/>
                <c:pt idx="0">
                  <c:v>Jan</c:v>
                </c:pt>
                <c:pt idx="1">
                  <c:v>Feb</c:v>
                </c:pt>
                <c:pt idx="2">
                  <c:v>Mar</c:v>
                </c:pt>
                <c:pt idx="3">
                  <c:v>Apr</c:v>
                </c:pt>
                <c:pt idx="4">
                  <c:v>May</c:v>
                </c:pt>
                <c:pt idx="5">
                  <c:v>Jun</c:v>
                </c:pt>
                <c:pt idx="6">
                  <c:v>Jul</c:v>
                </c:pt>
              </c:strCache>
            </c:strRef>
          </c:cat>
          <c:val>
            <c:numRef>
              <c:f>Calculation_Sheet!$B$11:$B$18</c:f>
              <c:numCache>
                <c:formatCode>General</c:formatCode>
                <c:ptCount val="7"/>
                <c:pt idx="0">
                  <c:v>37827</c:v>
                </c:pt>
                <c:pt idx="1">
                  <c:v>34724</c:v>
                </c:pt>
                <c:pt idx="2">
                  <c:v>39709</c:v>
                </c:pt>
                <c:pt idx="3">
                  <c:v>37430</c:v>
                </c:pt>
                <c:pt idx="4">
                  <c:v>41877</c:v>
                </c:pt>
                <c:pt idx="5">
                  <c:v>33338</c:v>
                </c:pt>
                <c:pt idx="6">
                  <c:v>32327</c:v>
                </c:pt>
              </c:numCache>
            </c:numRef>
          </c:val>
          <c:smooth val="0"/>
          <c:extLst>
            <c:ext xmlns:c16="http://schemas.microsoft.com/office/drawing/2014/chart" uri="{C3380CC4-5D6E-409C-BE32-E72D297353CC}">
              <c16:uniqueId val="{00000000-73E3-4372-981D-5E14A9D3C085}"/>
            </c:ext>
          </c:extLst>
        </c:ser>
        <c:dLbls>
          <c:showLegendKey val="0"/>
          <c:showVal val="0"/>
          <c:showCatName val="0"/>
          <c:showSerName val="0"/>
          <c:showPercent val="0"/>
          <c:showBubbleSize val="0"/>
        </c:dLbls>
        <c:smooth val="0"/>
        <c:axId val="486328336"/>
        <c:axId val="576990672"/>
      </c:lineChart>
      <c:catAx>
        <c:axId val="48632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990672"/>
        <c:crosses val="autoZero"/>
        <c:auto val="1"/>
        <c:lblAlgn val="ctr"/>
        <c:lblOffset val="100"/>
        <c:noMultiLvlLbl val="0"/>
      </c:catAx>
      <c:valAx>
        <c:axId val="576990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328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[Nexus_Gaming_Analysis_v2.xlsx]Calculation_Sheet!PivotTable3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Top 5 Products by Revenue</a:t>
            </a:r>
            <a:endParaRPr lang="en-US"/>
          </a:p>
        </c:rich>
      </c:tx>
      <c:layout>
        <c:manualLayout>
          <c:xMode val="edge"/>
          <c:yMode val="edge"/>
          <c:x val="0.36156933508311462"/>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Calculation_Sheet!$F$10</c:f>
              <c:strCache>
                <c:ptCount val="1"/>
                <c:pt idx="0">
                  <c:v>Total</c:v>
                </c:pt>
              </c:strCache>
            </c:strRef>
          </c:tx>
          <c:spPr>
            <a:solidFill>
              <a:schemeClr val="accent1"/>
            </a:solidFill>
            <a:ln>
              <a:noFill/>
            </a:ln>
            <a:effectLst/>
          </c:spPr>
          <c:invertIfNegative val="0"/>
          <c:cat>
            <c:strRef>
              <c:f>Calculation_Sheet!$E$11:$E$16</c:f>
              <c:strCache>
                <c:ptCount val="5"/>
                <c:pt idx="0">
                  <c:v>ASUS ROG Ally X</c:v>
                </c:pt>
                <c:pt idx="1">
                  <c:v>RTX 4070 Super</c:v>
                </c:pt>
                <c:pt idx="2">
                  <c:v>RTX 4090 Extreme</c:v>
                </c:pt>
                <c:pt idx="3">
                  <c:v>RX 7900 XTX</c:v>
                </c:pt>
                <c:pt idx="4">
                  <c:v>Xbox Series X</c:v>
                </c:pt>
              </c:strCache>
            </c:strRef>
          </c:cat>
          <c:val>
            <c:numRef>
              <c:f>Calculation_Sheet!$F$11:$F$16</c:f>
              <c:numCache>
                <c:formatCode>General</c:formatCode>
                <c:ptCount val="5"/>
                <c:pt idx="0">
                  <c:v>15181</c:v>
                </c:pt>
                <c:pt idx="1">
                  <c:v>25254</c:v>
                </c:pt>
                <c:pt idx="2">
                  <c:v>13592</c:v>
                </c:pt>
                <c:pt idx="3">
                  <c:v>24674</c:v>
                </c:pt>
                <c:pt idx="4">
                  <c:v>15807</c:v>
                </c:pt>
              </c:numCache>
            </c:numRef>
          </c:val>
          <c:extLst>
            <c:ext xmlns:c16="http://schemas.microsoft.com/office/drawing/2014/chart" uri="{C3380CC4-5D6E-409C-BE32-E72D297353CC}">
              <c16:uniqueId val="{00000000-374B-4B96-A710-46EEEFFC77F9}"/>
            </c:ext>
          </c:extLst>
        </c:ser>
        <c:dLbls>
          <c:showLegendKey val="0"/>
          <c:showVal val="0"/>
          <c:showCatName val="0"/>
          <c:showSerName val="0"/>
          <c:showPercent val="0"/>
          <c:showBubbleSize val="0"/>
        </c:dLbls>
        <c:gapWidth val="182"/>
        <c:axId val="728024512"/>
        <c:axId val="728024992"/>
      </c:barChart>
      <c:catAx>
        <c:axId val="728024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024992"/>
        <c:crosses val="autoZero"/>
        <c:auto val="1"/>
        <c:lblAlgn val="ctr"/>
        <c:lblOffset val="100"/>
        <c:noMultiLvlLbl val="0"/>
      </c:catAx>
      <c:valAx>
        <c:axId val="728024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024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44450</xdr:colOff>
      <xdr:row>5</xdr:row>
      <xdr:rowOff>101600</xdr:rowOff>
    </xdr:from>
    <xdr:to>
      <xdr:col>8</xdr:col>
      <xdr:colOff>44450</xdr:colOff>
      <xdr:row>20</xdr:row>
      <xdr:rowOff>82550</xdr:rowOff>
    </xdr:to>
    <xdr:graphicFrame macro="">
      <xdr:nvGraphicFramePr>
        <xdr:cNvPr id="2" name="Chart 1">
          <a:extLst>
            <a:ext uri="{FF2B5EF4-FFF2-40B4-BE49-F238E27FC236}">
              <a16:creationId xmlns:a16="http://schemas.microsoft.com/office/drawing/2014/main" id="{72D2C6A6-5950-4664-B89C-2C5C312514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215900</xdr:colOff>
      <xdr:row>5</xdr:row>
      <xdr:rowOff>101600</xdr:rowOff>
    </xdr:from>
    <xdr:to>
      <xdr:col>15</xdr:col>
      <xdr:colOff>520700</xdr:colOff>
      <xdr:row>20</xdr:row>
      <xdr:rowOff>82550</xdr:rowOff>
    </xdr:to>
    <xdr:graphicFrame macro="">
      <xdr:nvGraphicFramePr>
        <xdr:cNvPr id="3" name="Chart 2">
          <a:extLst>
            <a:ext uri="{FF2B5EF4-FFF2-40B4-BE49-F238E27FC236}">
              <a16:creationId xmlns:a16="http://schemas.microsoft.com/office/drawing/2014/main" id="{961B8BC6-352B-4242-9B4B-F0272B6CA3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209550</xdr:colOff>
      <xdr:row>5</xdr:row>
      <xdr:rowOff>101600</xdr:rowOff>
    </xdr:from>
    <xdr:to>
      <xdr:col>19</xdr:col>
      <xdr:colOff>209550</xdr:colOff>
      <xdr:row>19</xdr:row>
      <xdr:rowOff>47625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EA0A267E-1CB1-AF81-8DD9-0D33A0AAD1D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293350" y="15240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Syrek" refreshedDate="46112.46718576389" backgroundQuery="1" createdVersion="8" refreshedVersion="8" minRefreshableVersion="3" recordCount="0" supportSubquery="1" supportAdvancedDrill="1" xr:uid="{213ED234-8070-40DB-99FB-936242D57565}">
  <cacheSource type="external" connectionId="6"/>
  <cacheFields count="3">
    <cacheField name="[Products].[Product_Name].[Product_Name]" caption="Product_Name" numFmtId="0" hierarchy="13" level="1">
      <sharedItems count="5">
        <s v="ASUS ROG Ally X"/>
        <s v="RTX 4070 Super"/>
        <s v="RTX 4090 Extreme"/>
        <s v="RX 7900 XTX"/>
        <s v="Xbox Series X"/>
      </sharedItems>
    </cacheField>
    <cacheField name="[Measures].[Total Revenue]" caption="Total Revenue" numFmtId="0" hierarchy="29" level="32767"/>
    <cacheField name="[Clients].[Region].[Region]" caption="Region" numFmtId="0" hierarchy="5" level="1">
      <sharedItems containsSemiMixedTypes="0" containsNonDate="0" containsString="0"/>
    </cacheField>
  </cacheFields>
  <cacheHierarchies count="36">
    <cacheHierarchy uniqueName="[Calendar].[Calendar]" caption="Calendar" attribute="1" time="1" defaultMemberUniqueName="[Calendar].[Calendar].[All]" allUniqueName="[Calendar].[Calendar].[All]" dimensionUniqueName="[Calendar]" displayFolder="" count="0" memberValueDatatype="7" unbalanced="0"/>
    <cacheHierarchy uniqueName="[Calendar].[Calendar (Month)]" caption="Calendar (Month)" attribute="1" defaultMemberUniqueName="[Calendar].[Calendar (Month)].[All]" allUniqueName="[Calendar].[Calendar (Month)].[All]" dimensionUniqueName="[Calendar]" displayFolder="" count="0" memberValueDatatype="130" unbalanced="0"/>
    <cacheHierarchy uniqueName="[Clients].[Client_ID]" caption="Client_ID" attribute="1" defaultMemberUniqueName="[Clients].[Client_ID].[All]" allUniqueName="[Clients].[Client_ID].[All]" dimensionUniqueName="[Clients]" displayFolder="" count="0" memberValueDatatype="130" unbalanced="0"/>
    <cacheHierarchy uniqueName="[Clients].[Store_Name]" caption="Store_Name" attribute="1" defaultMemberUniqueName="[Clients].[Store_Name].[All]" allUniqueName="[Clients].[Store_Name].[All]" dimensionUniqueName="[Clients]" displayFolder="" count="0" memberValueDatatype="130" unbalanced="0"/>
    <cacheHierarchy uniqueName="[Clients].[City]" caption="City" attribute="1" defaultMemberUniqueName="[Clients].[City].[All]" allUniqueName="[Clients].[City].[All]" dimensionUniqueName="[Clients]" displayFolder="" count="0" memberValueDatatype="130" unbalanced="0"/>
    <cacheHierarchy uniqueName="[Clients].[Region]" caption="Region" attribute="1" defaultMemberUniqueName="[Clients].[Region].[All]" allUniqueName="[Clients].[Region].[All]" dimensionUniqueName="[Clients]" displayFolder="" count="2" memberValueDatatype="130" unbalanced="0">
      <fieldsUsage count="2">
        <fieldUsage x="-1"/>
        <fieldUsage x="2"/>
      </fieldsUsage>
    </cacheHierarchy>
    <cacheHierarchy uniqueName="[Clients].[Store_Type]" caption="Store_Type" attribute="1" defaultMemberUniqueName="[Clients].[Store_Type].[All]" allUniqueName="[Clients].[Store_Type].[All]" dimensionUniqueName="[Clients]" displayFolder="" count="0" memberValueDatatype="130" unbalanced="0"/>
    <cacheHierarchy uniqueName="[Feedback].[Transaction_ID]" caption="Transaction_ID" attribute="1" defaultMemberUniqueName="[Feedback].[Transaction_ID].[All]" allUniqueName="[Feedback].[Transaction_ID].[All]" dimensionUniqueName="[Feedback]" displayFolder="" count="0" memberValueDatatype="130" unbalanced="0"/>
    <cacheHierarchy uniqueName="[Feedback].[Rating]" caption="Rating" attribute="1" defaultMemberUniqueName="[Feedback].[Rating].[All]" allUniqueName="[Feedback].[Rating].[All]" dimensionUniqueName="[Feedback]" displayFolder="" count="0" memberValueDatatype="20" unbalanced="0"/>
    <cacheHierarchy uniqueName="[Feedback].[Feedback_Comment]" caption="Feedback_Comment" attribute="1" defaultMemberUniqueName="[Feedback].[Feedback_Comment].[All]" allUniqueName="[Feedback].[Feedback_Comment].[All]" dimensionUniqueName="[Feedback]"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Unit_Cost]" caption="Unit_Cost" attribute="1" defaultMemberUniqueName="[Products].[Unit_Cost].[All]" allUniqueName="[Products].[Unit_Cost].[All]" dimensionUniqueName="[Products]" displayFolder="" count="0" memberValueDatatype="5" unbalanced="0"/>
    <cacheHierarchy uniqueName="[Products].[Unit_Price]" caption="Unit_Price" attribute="1" defaultMemberUniqueName="[Products].[Unit_Price].[All]" allUniqueName="[Products].[Unit_Price].[All]" dimensionUniqueName="[Products]" displayFolder="" count="0" memberValueDatatype="5" unbalanced="0"/>
    <cacheHierarchy uniqueName="[Sales].[Order_Date]" caption="Order_Date" attribute="1" time="1" defaultMemberUniqueName="[Sales].[Order_Date].[All]" allUniqueName="[Sales].[Order_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Payment_Status]" caption="Payment_Status" attribute="1" defaultMemberUniqueName="[Sales].[Payment_Status].[All]" allUniqueName="[Sales].[Payment_Status].[All]" dimensionUniqueName="[Sales]" displayFolder="" count="0" memberValueDatatype="130" unbalanced="0"/>
    <cacheHierarchy uniqueName="[Calendar].[Calendar (Month Index)]" caption="Calendar (Month Index)" attribute="1" defaultMemberUniqueName="[Calendar].[Calendar (Month Index)].[All]" allUniqueName="[Calendar].[Calendar (Month Index)].[All]" dimensionUniqueName="[Calendar]" displayFolder="" count="0" memberValueDatatype="20" unbalanced="0" hidden="1"/>
    <cacheHierarchy uniqueName="[Sales].[Client_ID]" caption="Client_ID" attribute="1" defaultMemberUniqueName="[Sales].[Client_ID].[All]" allUniqueName="[Sales].[Client_ID].[All]" dimensionUniqueName="[Sales]" displayFolder="" count="0" memberValueDatatype="130" unbalanced="0" hidden="1"/>
    <cacheHierarchy uniqueName="[Sales].[Product_ID]" caption="Product_ID" attribute="1" defaultMemberUniqueName="[Sales].[Product_ID].[All]" allUniqueName="[Sales].[Product_ID].[All]" dimensionUniqueName="[Sales]" displayFolder="" count="0" memberValueDatatype="130" unbalanced="0" hidden="1"/>
    <cacheHierarchy uniqueName="[Sales].[Transaction_ID]" caption="Transaction_ID" attribute="1" defaultMemberUniqueName="[Sales].[Transaction_ID].[All]" allUniqueName="[Sales].[Transaction_ID].[All]" dimensionUniqueName="[Sales]" displayFolder="" count="0" memberValueDatatype="130" unbalanced="0" hidden="1"/>
    <cacheHierarchy uniqueName="[Measures].[Total Cost]" caption="Total Cost" measure="1" displayFolder="" measureGroup="Sales" count="0"/>
    <cacheHierarchy uniqueName="[Measures].[Gross Profit]" caption="Gross Profit" measure="1" displayFolder="" measureGroup="Sales" count="0"/>
    <cacheHierarchy uniqueName="[Measures].[Profit Margin %]" caption="Profit Margin %" measure="1" displayFolder="" measureGroup="Sales" count="0"/>
    <cacheHierarchy uniqueName="[Measures].[Total Units Sold]" caption="Total Units Sold" measure="1" displayFolder="" measureGroup="Sales" count="0"/>
    <cacheHierarchy uniqueName="[Measures].[AOV]" caption="AOV" measure="1" displayFolder="" measureGroup="Sales" count="0"/>
    <cacheHierarchy uniqueName="[Measures].[Avg Customer Rating]" caption="Avg Customer Rating" measure="1" displayFolder="" measureGroup="Feedback" count="0"/>
    <cacheHierarchy uniqueName="[Measures].[Total Revenue]" caption="Total Revenue" measure="1" displayFolder="" measureGroup="Sales" count="0" oneField="1">
      <fieldsUsage count="1">
        <fieldUsage x="1"/>
      </fieldsUsage>
    </cacheHierarchy>
    <cacheHierarchy uniqueName="[Measures].[__XL_Count Clients]" caption="__XL_Count Clients" measure="1" displayFolder="" measureGroup="Client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Feedback]" caption="__XL_Count Feedback" measure="1" displayFolder="" measureGroup="Feedback"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lients" uniqueName="[Clients]" caption="Clients"/>
    <dimension name="Feedback" uniqueName="[Feedback]" caption="Feedback"/>
    <dimension measure="1" name="Measures" uniqueName="[Measures]" caption="Measures"/>
    <dimension name="Products" uniqueName="[Products]" caption="Products"/>
    <dimension name="Sales" uniqueName="[Sales]" caption="Sales"/>
  </dimensions>
  <measureGroups count="5">
    <measureGroup name="Calendar" caption="Calendar"/>
    <measureGroup name="Clients" caption="Clients"/>
    <measureGroup name="Feedback" caption="Feedback"/>
    <measureGroup name="Products" caption="Products"/>
    <measureGroup name="Sales" caption="Sales"/>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Syrek" refreshedDate="46112.467186689813" backgroundQuery="1" createdVersion="8" refreshedVersion="8" minRefreshableVersion="3" recordCount="0" supportSubquery="1" supportAdvancedDrill="1" xr:uid="{DA5973AA-25AB-4CCA-9D42-CACF6E234C80}">
  <cacheSource type="external" connectionId="6"/>
  <cacheFields count="4">
    <cacheField name="[Calendar].[Calendar].[Calendar]" caption="Calendar" numFmtId="0" level="1">
      <sharedItems containsSemiMixedTypes="0" containsNonDate="0" containsDate="1" containsString="0" minDate="2025-01-01T00:00:00" maxDate="2026-01-01T00:00:00" count="365">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cacheField>
    <cacheField name="[Calendar].[Calendar (Month)].[Calendar (Month)]" caption="Calendar (Month)" numFmtId="0" hierarchy="1" level="1">
      <sharedItems count="7">
        <s v="Jan"/>
        <s v="Feb"/>
        <s v="Mar"/>
        <s v="Apr"/>
        <s v="May"/>
        <s v="Jun"/>
        <s v="Jul"/>
      </sharedItems>
    </cacheField>
    <cacheField name="[Measures].[Total Revenue]" caption="Total Revenue" numFmtId="0" hierarchy="29" level="32767"/>
    <cacheField name="[Clients].[Region].[Region]" caption="Region" numFmtId="0" hierarchy="5" level="1">
      <sharedItems containsSemiMixedTypes="0" containsNonDate="0" containsString="0"/>
    </cacheField>
  </cacheFields>
  <cacheHierarchies count="36">
    <cacheHierarchy uniqueName="[Calendar].[Calendar]" caption="Calendar" attribute="1" time="1" defaultMemberUniqueName="[Calendar].[Calendar].[All]" allUniqueName="[Calendar].[Calendar].[All]" dimensionUniqueName="[Calendar]" displayFolder="" count="2" memberValueDatatype="7" unbalanced="0">
      <fieldsUsage count="2">
        <fieldUsage x="-1"/>
        <fieldUsage x="0"/>
      </fieldsUsage>
    </cacheHierarchy>
    <cacheHierarchy uniqueName="[Calendar].[Calendar (Month)]" caption="Calendar (Month)" attribute="1" defaultMemberUniqueName="[Calendar].[Calendar (Month)].[All]" allUniqueName="[Calendar].[Calendar (Month)].[All]" dimensionUniqueName="[Calendar]" displayFolder="" count="2" memberValueDatatype="130" unbalanced="0">
      <fieldsUsage count="2">
        <fieldUsage x="-1"/>
        <fieldUsage x="1"/>
      </fieldsUsage>
    </cacheHierarchy>
    <cacheHierarchy uniqueName="[Clients].[Client_ID]" caption="Client_ID" attribute="1" defaultMemberUniqueName="[Clients].[Client_ID].[All]" allUniqueName="[Clients].[Client_ID].[All]" dimensionUniqueName="[Clients]" displayFolder="" count="0" memberValueDatatype="130" unbalanced="0"/>
    <cacheHierarchy uniqueName="[Clients].[Store_Name]" caption="Store_Name" attribute="1" defaultMemberUniqueName="[Clients].[Store_Name].[All]" allUniqueName="[Clients].[Store_Name].[All]" dimensionUniqueName="[Clients]" displayFolder="" count="0" memberValueDatatype="130" unbalanced="0"/>
    <cacheHierarchy uniqueName="[Clients].[City]" caption="City" attribute="1" defaultMemberUniqueName="[Clients].[City].[All]" allUniqueName="[Clients].[City].[All]" dimensionUniqueName="[Clients]" displayFolder="" count="0" memberValueDatatype="130" unbalanced="0"/>
    <cacheHierarchy uniqueName="[Clients].[Region]" caption="Region" attribute="1" defaultMemberUniqueName="[Clients].[Region].[All]" allUniqueName="[Clients].[Region].[All]" dimensionUniqueName="[Clients]" displayFolder="" count="2" memberValueDatatype="130" unbalanced="0">
      <fieldsUsage count="2">
        <fieldUsage x="-1"/>
        <fieldUsage x="3"/>
      </fieldsUsage>
    </cacheHierarchy>
    <cacheHierarchy uniqueName="[Clients].[Store_Type]" caption="Store_Type" attribute="1" defaultMemberUniqueName="[Clients].[Store_Type].[All]" allUniqueName="[Clients].[Store_Type].[All]" dimensionUniqueName="[Clients]" displayFolder="" count="0" memberValueDatatype="130" unbalanced="0"/>
    <cacheHierarchy uniqueName="[Feedback].[Transaction_ID]" caption="Transaction_ID" attribute="1" defaultMemberUniqueName="[Feedback].[Transaction_ID].[All]" allUniqueName="[Feedback].[Transaction_ID].[All]" dimensionUniqueName="[Feedback]" displayFolder="" count="0" memberValueDatatype="130" unbalanced="0"/>
    <cacheHierarchy uniqueName="[Feedback].[Rating]" caption="Rating" attribute="1" defaultMemberUniqueName="[Feedback].[Rating].[All]" allUniqueName="[Feedback].[Rating].[All]" dimensionUniqueName="[Feedback]" displayFolder="" count="0" memberValueDatatype="20" unbalanced="0"/>
    <cacheHierarchy uniqueName="[Feedback].[Feedback_Comment]" caption="Feedback_Comment" attribute="1" defaultMemberUniqueName="[Feedback].[Feedback_Comment].[All]" allUniqueName="[Feedback].[Feedback_Comment].[All]" dimensionUniqueName="[Feedback]"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Unit_Price]" caption="Unit_Price" attribute="1" defaultMemberUniqueName="[Products].[Unit_Price].[All]" allUniqueName="[Products].[Unit_Price].[All]" dimensionUniqueName="[Products]" displayFolder="" count="0" memberValueDatatype="5" unbalanced="0"/>
    <cacheHierarchy uniqueName="[Sales].[Order_Date]" caption="Order_Date" attribute="1" time="1" defaultMemberUniqueName="[Sales].[Order_Date].[All]" allUniqueName="[Sales].[Order_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Payment_Status]" caption="Payment_Status" attribute="1" defaultMemberUniqueName="[Sales].[Payment_Status].[All]" allUniqueName="[Sales].[Payment_Status].[All]" dimensionUniqueName="[Sales]" displayFolder="" count="0" memberValueDatatype="130" unbalanced="0"/>
    <cacheHierarchy uniqueName="[Calendar].[Calendar (Month Index)]" caption="Calendar (Month Index)" attribute="1" defaultMemberUniqueName="[Calendar].[Calendar (Month Index)].[All]" allUniqueName="[Calendar].[Calendar (Month Index)].[All]" dimensionUniqueName="[Calendar]" displayFolder="" count="0" memberValueDatatype="20" unbalanced="0" hidden="1"/>
    <cacheHierarchy uniqueName="[Sales].[Client_ID]" caption="Client_ID" attribute="1" defaultMemberUniqueName="[Sales].[Client_ID].[All]" allUniqueName="[Sales].[Client_ID].[All]" dimensionUniqueName="[Sales]" displayFolder="" count="0" memberValueDatatype="130" unbalanced="0" hidden="1"/>
    <cacheHierarchy uniqueName="[Sales].[Product_ID]" caption="Product_ID" attribute="1" defaultMemberUniqueName="[Sales].[Product_ID].[All]" allUniqueName="[Sales].[Product_ID].[All]" dimensionUniqueName="[Sales]" displayFolder="" count="0" memberValueDatatype="130" unbalanced="0" hidden="1"/>
    <cacheHierarchy uniqueName="[Sales].[Transaction_ID]" caption="Transaction_ID" attribute="1" defaultMemberUniqueName="[Sales].[Transaction_ID].[All]" allUniqueName="[Sales].[Transaction_ID].[All]" dimensionUniqueName="[Sales]" displayFolder="" count="0" memberValueDatatype="130" unbalanced="0" hidden="1"/>
    <cacheHierarchy uniqueName="[Measures].[Total Cost]" caption="Total Cost" measure="1" displayFolder="" measureGroup="Sales" count="0"/>
    <cacheHierarchy uniqueName="[Measures].[Gross Profit]" caption="Gross Profit" measure="1" displayFolder="" measureGroup="Sales" count="0"/>
    <cacheHierarchy uniqueName="[Measures].[Profit Margin %]" caption="Profit Margin %" measure="1" displayFolder="" measureGroup="Sales" count="0"/>
    <cacheHierarchy uniqueName="[Measures].[Total Units Sold]" caption="Total Units Sold" measure="1" displayFolder="" measureGroup="Sales" count="0"/>
    <cacheHierarchy uniqueName="[Measures].[AOV]" caption="AOV" measure="1" displayFolder="" measureGroup="Sales" count="0"/>
    <cacheHierarchy uniqueName="[Measures].[Avg Customer Rating]" caption="Avg Customer Rating" measure="1" displayFolder="" measureGroup="Feedback" count="0"/>
    <cacheHierarchy uniqueName="[Measures].[Total Revenue]" caption="Total Revenue" measure="1" displayFolder="" measureGroup="Sales" count="0" oneField="1">
      <fieldsUsage count="1">
        <fieldUsage x="2"/>
      </fieldsUsage>
    </cacheHierarchy>
    <cacheHierarchy uniqueName="[Measures].[__XL_Count Clients]" caption="__XL_Count Clients" measure="1" displayFolder="" measureGroup="Client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Feedback]" caption="__XL_Count Feedback" measure="1" displayFolder="" measureGroup="Feedback"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lients" uniqueName="[Clients]" caption="Clients"/>
    <dimension name="Feedback" uniqueName="[Feedback]" caption="Feedback"/>
    <dimension measure="1" name="Measures" uniqueName="[Measures]" caption="Measures"/>
    <dimension name="Products" uniqueName="[Products]" caption="Products"/>
    <dimension name="Sales" uniqueName="[Sales]" caption="Sales"/>
  </dimensions>
  <measureGroups count="5">
    <measureGroup name="Calendar" caption="Calendar"/>
    <measureGroup name="Clients" caption="Clients"/>
    <measureGroup name="Feedback" caption="Feedback"/>
    <measureGroup name="Products" caption="Products"/>
    <measureGroup name="Sales" caption="Sales"/>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Syrek" refreshedDate="46112.46718738426" backgroundQuery="1" createdVersion="8" refreshedVersion="8" minRefreshableVersion="3" recordCount="0" supportSubquery="1" supportAdvancedDrill="1" xr:uid="{AE393C76-338F-4EC9-B771-8047F06D7522}">
  <cacheSource type="external" connectionId="6"/>
  <cacheFields count="4">
    <cacheField name="[Measures].[Total Revenue]" caption="Total Revenue" numFmtId="0" hierarchy="29" level="32767"/>
    <cacheField name="[Measures].[Gross Profit]" caption="Gross Profit" numFmtId="0" hierarchy="24" level="32767"/>
    <cacheField name="[Measures].[Avg Customer Rating]" caption="Avg Customer Rating" numFmtId="0" hierarchy="28" level="32767"/>
    <cacheField name="[Clients].[Region].[Region]" caption="Region" numFmtId="0" hierarchy="5" level="1">
      <sharedItems containsSemiMixedTypes="0" containsNonDate="0" containsString="0"/>
    </cacheField>
  </cacheFields>
  <cacheHierarchies count="36">
    <cacheHierarchy uniqueName="[Calendar].[Calendar]" caption="Calendar" attribute="1" time="1" defaultMemberUniqueName="[Calendar].[Calendar].[All]" allUniqueName="[Calendar].[Calendar].[All]" dimensionUniqueName="[Calendar]" displayFolder="" count="0" memberValueDatatype="7" unbalanced="0"/>
    <cacheHierarchy uniqueName="[Calendar].[Calendar (Month)]" caption="Calendar (Month)" attribute="1" defaultMemberUniqueName="[Calendar].[Calendar (Month)].[All]" allUniqueName="[Calendar].[Calendar (Month)].[All]" dimensionUniqueName="[Calendar]" displayFolder="" count="0" memberValueDatatype="130" unbalanced="0"/>
    <cacheHierarchy uniqueName="[Clients].[Client_ID]" caption="Client_ID" attribute="1" defaultMemberUniqueName="[Clients].[Client_ID].[All]" allUniqueName="[Clients].[Client_ID].[All]" dimensionUniqueName="[Clients]" displayFolder="" count="0" memberValueDatatype="130" unbalanced="0"/>
    <cacheHierarchy uniqueName="[Clients].[Store_Name]" caption="Store_Name" attribute="1" defaultMemberUniqueName="[Clients].[Store_Name].[All]" allUniqueName="[Clients].[Store_Name].[All]" dimensionUniqueName="[Clients]" displayFolder="" count="0" memberValueDatatype="130" unbalanced="0"/>
    <cacheHierarchy uniqueName="[Clients].[City]" caption="City" attribute="1" defaultMemberUniqueName="[Clients].[City].[All]" allUniqueName="[Clients].[City].[All]" dimensionUniqueName="[Clients]" displayFolder="" count="0" memberValueDatatype="130" unbalanced="0"/>
    <cacheHierarchy uniqueName="[Clients].[Region]" caption="Region" attribute="1" defaultMemberUniqueName="[Clients].[Region].[All]" allUniqueName="[Clients].[Region].[All]" dimensionUniqueName="[Clients]" displayFolder="" count="2" memberValueDatatype="130" unbalanced="0">
      <fieldsUsage count="2">
        <fieldUsage x="-1"/>
        <fieldUsage x="3"/>
      </fieldsUsage>
    </cacheHierarchy>
    <cacheHierarchy uniqueName="[Clients].[Store_Type]" caption="Store_Type" attribute="1" defaultMemberUniqueName="[Clients].[Store_Type].[All]" allUniqueName="[Clients].[Store_Type].[All]" dimensionUniqueName="[Clients]" displayFolder="" count="0" memberValueDatatype="130" unbalanced="0"/>
    <cacheHierarchy uniqueName="[Feedback].[Transaction_ID]" caption="Transaction_ID" attribute="1" defaultMemberUniqueName="[Feedback].[Transaction_ID].[All]" allUniqueName="[Feedback].[Transaction_ID].[All]" dimensionUniqueName="[Feedback]" displayFolder="" count="0" memberValueDatatype="130" unbalanced="0"/>
    <cacheHierarchy uniqueName="[Feedback].[Rating]" caption="Rating" attribute="1" defaultMemberUniqueName="[Feedback].[Rating].[All]" allUniqueName="[Feedback].[Rating].[All]" dimensionUniqueName="[Feedback]" displayFolder="" count="0" memberValueDatatype="20" unbalanced="0"/>
    <cacheHierarchy uniqueName="[Feedback].[Feedback_Comment]" caption="Feedback_Comment" attribute="1" defaultMemberUniqueName="[Feedback].[Feedback_Comment].[All]" allUniqueName="[Feedback].[Feedback_Comment].[All]" dimensionUniqueName="[Feedback]"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Unit_Price]" caption="Unit_Price" attribute="1" defaultMemberUniqueName="[Products].[Unit_Price].[All]" allUniqueName="[Products].[Unit_Price].[All]" dimensionUniqueName="[Products]" displayFolder="" count="0" memberValueDatatype="5" unbalanced="0"/>
    <cacheHierarchy uniqueName="[Sales].[Order_Date]" caption="Order_Date" attribute="1" time="1" defaultMemberUniqueName="[Sales].[Order_Date].[All]" allUniqueName="[Sales].[Order_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Payment_Status]" caption="Payment_Status" attribute="1" defaultMemberUniqueName="[Sales].[Payment_Status].[All]" allUniqueName="[Sales].[Payment_Status].[All]" dimensionUniqueName="[Sales]" displayFolder="" count="0" memberValueDatatype="130" unbalanced="0"/>
    <cacheHierarchy uniqueName="[Calendar].[Calendar (Month Index)]" caption="Calendar (Month Index)" attribute="1" defaultMemberUniqueName="[Calendar].[Calendar (Month Index)].[All]" allUniqueName="[Calendar].[Calendar (Month Index)].[All]" dimensionUniqueName="[Calendar]" displayFolder="" count="0" memberValueDatatype="20" unbalanced="0" hidden="1"/>
    <cacheHierarchy uniqueName="[Sales].[Client_ID]" caption="Client_ID" attribute="1" defaultMemberUniqueName="[Sales].[Client_ID].[All]" allUniqueName="[Sales].[Client_ID].[All]" dimensionUniqueName="[Sales]" displayFolder="" count="0" memberValueDatatype="130" unbalanced="0" hidden="1"/>
    <cacheHierarchy uniqueName="[Sales].[Product_ID]" caption="Product_ID" attribute="1" defaultMemberUniqueName="[Sales].[Product_ID].[All]" allUniqueName="[Sales].[Product_ID].[All]" dimensionUniqueName="[Sales]" displayFolder="" count="0" memberValueDatatype="130" unbalanced="0" hidden="1"/>
    <cacheHierarchy uniqueName="[Sales].[Transaction_ID]" caption="Transaction_ID" attribute="1" defaultMemberUniqueName="[Sales].[Transaction_ID].[All]" allUniqueName="[Sales].[Transaction_ID].[All]" dimensionUniqueName="[Sales]" displayFolder="" count="0" memberValueDatatype="130" unbalanced="0" hidden="1"/>
    <cacheHierarchy uniqueName="[Measures].[Total Cost]" caption="Total Cost" measure="1" displayFolder="" measureGroup="Sales" count="0"/>
    <cacheHierarchy uniqueName="[Measures].[Gross Profit]" caption="Gross Profit" measure="1" displayFolder="" measureGroup="Sales" count="0" oneField="1">
      <fieldsUsage count="1">
        <fieldUsage x="1"/>
      </fieldsUsage>
    </cacheHierarchy>
    <cacheHierarchy uniqueName="[Measures].[Profit Margin %]" caption="Profit Margin %" measure="1" displayFolder="" measureGroup="Sales" count="0"/>
    <cacheHierarchy uniqueName="[Measures].[Total Units Sold]" caption="Total Units Sold" measure="1" displayFolder="" measureGroup="Sales" count="0"/>
    <cacheHierarchy uniqueName="[Measures].[AOV]" caption="AOV" measure="1" displayFolder="" measureGroup="Sales" count="0"/>
    <cacheHierarchy uniqueName="[Measures].[Avg Customer Rating]" caption="Avg Customer Rating" measure="1" displayFolder="" measureGroup="Feedback" count="0" oneField="1">
      <fieldsUsage count="1">
        <fieldUsage x="2"/>
      </fieldsUsage>
    </cacheHierarchy>
    <cacheHierarchy uniqueName="[Measures].[Total Revenue]" caption="Total Revenue" measure="1" displayFolder="" measureGroup="Sales" count="0" oneField="1">
      <fieldsUsage count="1">
        <fieldUsage x="0"/>
      </fieldsUsage>
    </cacheHierarchy>
    <cacheHierarchy uniqueName="[Measures].[__XL_Count Clients]" caption="__XL_Count Clients" measure="1" displayFolder="" measureGroup="Client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Feedback]" caption="__XL_Count Feedback" measure="1" displayFolder="" measureGroup="Feedback"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lients" uniqueName="[Clients]" caption="Clients"/>
    <dimension name="Feedback" uniqueName="[Feedback]" caption="Feedback"/>
    <dimension measure="1" name="Measures" uniqueName="[Measures]" caption="Measures"/>
    <dimension name="Products" uniqueName="[Products]" caption="Products"/>
    <dimension name="Sales" uniqueName="[Sales]" caption="Sales"/>
  </dimensions>
  <measureGroups count="5">
    <measureGroup name="Calendar" caption="Calendar"/>
    <measureGroup name="Clients" caption="Clients"/>
    <measureGroup name="Feedback" caption="Feedback"/>
    <measureGroup name="Products" caption="Products"/>
    <measureGroup name="Sales" caption="Sales"/>
  </measureGroups>
  <maps count="9">
    <map measureGroup="0" dimension="0"/>
    <map measureGroup="1" dimension="1"/>
    <map measureGroup="2" dimension="2"/>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Syrek" refreshedDate="46112.467185185182" backgroundQuery="1" createdVersion="3" refreshedVersion="8" minRefreshableVersion="3" recordCount="0" supportSubquery="1" supportAdvancedDrill="1" xr:uid="{2FFC0F3A-2DC7-4A0C-84BC-A1632FEA933A}">
  <cacheSource type="external" connectionId="6">
    <extLst>
      <ext xmlns:x14="http://schemas.microsoft.com/office/spreadsheetml/2009/9/main" uri="{F057638F-6D5F-4e77-A914-E7F072B9BCA8}">
        <x14:sourceConnection name="ThisWorkbookDataModel"/>
      </ext>
    </extLst>
  </cacheSource>
  <cacheFields count="0"/>
  <cacheHierarchies count="36">
    <cacheHierarchy uniqueName="[Calendar].[Calendar]" caption="Calendar" attribute="1" time="1" defaultMemberUniqueName="[Calendar].[Calendar].[All]" allUniqueName="[Calendar].[Calendar].[All]" dimensionUniqueName="[Calendar]" displayFolder="" count="0" memberValueDatatype="7" unbalanced="0"/>
    <cacheHierarchy uniqueName="[Calendar].[Calendar (Month)]" caption="Calendar (Month)" attribute="1" defaultMemberUniqueName="[Calendar].[Calendar (Month)].[All]" allUniqueName="[Calendar].[Calendar (Month)].[All]" dimensionUniqueName="[Calendar]" displayFolder="" count="0" memberValueDatatype="130" unbalanced="0"/>
    <cacheHierarchy uniqueName="[Clients].[Client_ID]" caption="Client_ID" attribute="1" defaultMemberUniqueName="[Clients].[Client_ID].[All]" allUniqueName="[Clients].[Client_ID].[All]" dimensionUniqueName="[Clients]" displayFolder="" count="0" memberValueDatatype="130" unbalanced="0"/>
    <cacheHierarchy uniqueName="[Clients].[Store_Name]" caption="Store_Name" attribute="1" defaultMemberUniqueName="[Clients].[Store_Name].[All]" allUniqueName="[Clients].[Store_Name].[All]" dimensionUniqueName="[Clients]" displayFolder="" count="0" memberValueDatatype="130" unbalanced="0"/>
    <cacheHierarchy uniqueName="[Clients].[City]" caption="City" attribute="1" defaultMemberUniqueName="[Clients].[City].[All]" allUniqueName="[Clients].[City].[All]" dimensionUniqueName="[Clients]" displayFolder="" count="0" memberValueDatatype="130" unbalanced="0"/>
    <cacheHierarchy uniqueName="[Clients].[Region]" caption="Region" attribute="1" defaultMemberUniqueName="[Clients].[Region].[All]" allUniqueName="[Clients].[Region].[All]" dimensionUniqueName="[Clients]" displayFolder="" count="2" memberValueDatatype="130" unbalanced="0"/>
    <cacheHierarchy uniqueName="[Clients].[Store_Type]" caption="Store_Type" attribute="1" defaultMemberUniqueName="[Clients].[Store_Type].[All]" allUniqueName="[Clients].[Store_Type].[All]" dimensionUniqueName="[Clients]" displayFolder="" count="0" memberValueDatatype="130" unbalanced="0"/>
    <cacheHierarchy uniqueName="[Feedback].[Transaction_ID]" caption="Transaction_ID" attribute="1" defaultMemberUniqueName="[Feedback].[Transaction_ID].[All]" allUniqueName="[Feedback].[Transaction_ID].[All]" dimensionUniqueName="[Feedback]" displayFolder="" count="0" memberValueDatatype="130" unbalanced="0"/>
    <cacheHierarchy uniqueName="[Feedback].[Rating]" caption="Rating" attribute="1" defaultMemberUniqueName="[Feedback].[Rating].[All]" allUniqueName="[Feedback].[Rating].[All]" dimensionUniqueName="[Feedback]" displayFolder="" count="0" memberValueDatatype="20" unbalanced="0"/>
    <cacheHierarchy uniqueName="[Feedback].[Feedback_Comment]" caption="Feedback_Comment" attribute="1" defaultMemberUniqueName="[Feedback].[Feedback_Comment].[All]" allUniqueName="[Feedback].[Feedback_Comment].[All]" dimensionUniqueName="[Feedback]"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Unit_Price]" caption="Unit_Price" attribute="1" defaultMemberUniqueName="[Products].[Unit_Price].[All]" allUniqueName="[Products].[Unit_Price].[All]" dimensionUniqueName="[Products]" displayFolder="" count="0" memberValueDatatype="5" unbalanced="0"/>
    <cacheHierarchy uniqueName="[Sales].[Order_Date]" caption="Order_Date" attribute="1" time="1" defaultMemberUniqueName="[Sales].[Order_Date].[All]" allUniqueName="[Sales].[Order_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Payment_Status]" caption="Payment_Status" attribute="1" defaultMemberUniqueName="[Sales].[Payment_Status].[All]" allUniqueName="[Sales].[Payment_Status].[All]" dimensionUniqueName="[Sales]" displayFolder="" count="0" memberValueDatatype="130" unbalanced="0"/>
    <cacheHierarchy uniqueName="[Calendar].[Calendar (Month Index)]" caption="Calendar (Month Index)" attribute="1" defaultMemberUniqueName="[Calendar].[Calendar (Month Index)].[All]" allUniqueName="[Calendar].[Calendar (Month Index)].[All]" dimensionUniqueName="[Calendar]" displayFolder="" count="0" memberValueDatatype="20" unbalanced="0" hidden="1"/>
    <cacheHierarchy uniqueName="[Sales].[Client_ID]" caption="Client_ID" attribute="1" defaultMemberUniqueName="[Sales].[Client_ID].[All]" allUniqueName="[Sales].[Client_ID].[All]" dimensionUniqueName="[Sales]" displayFolder="" count="0" memberValueDatatype="130" unbalanced="0" hidden="1"/>
    <cacheHierarchy uniqueName="[Sales].[Product_ID]" caption="Product_ID" attribute="1" defaultMemberUniqueName="[Sales].[Product_ID].[All]" allUniqueName="[Sales].[Product_ID].[All]" dimensionUniqueName="[Sales]" displayFolder="" count="0" memberValueDatatype="130" unbalanced="0" hidden="1"/>
    <cacheHierarchy uniqueName="[Sales].[Transaction_ID]" caption="Transaction_ID" attribute="1" defaultMemberUniqueName="[Sales].[Transaction_ID].[All]" allUniqueName="[Sales].[Transaction_ID].[All]" dimensionUniqueName="[Sales]" displayFolder="" count="0" memberValueDatatype="130" unbalanced="0" hidden="1"/>
    <cacheHierarchy uniqueName="[Measures].[Total Cost]" caption="Total Cost" measure="1" displayFolder="" measureGroup="Sales" count="0"/>
    <cacheHierarchy uniqueName="[Measures].[Gross Profit]" caption="Gross Profit" measure="1" displayFolder="" measureGroup="Sales" count="0"/>
    <cacheHierarchy uniqueName="[Measures].[Profit Margin %]" caption="Profit Margin %" measure="1" displayFolder="" measureGroup="Sales" count="0"/>
    <cacheHierarchy uniqueName="[Measures].[Total Units Sold]" caption="Total Units Sold" measure="1" displayFolder="" measureGroup="Sales" count="0"/>
    <cacheHierarchy uniqueName="[Measures].[AOV]" caption="AOV" measure="1" displayFolder="" measureGroup="Sales" count="0"/>
    <cacheHierarchy uniqueName="[Measures].[Avg Customer Rating]" caption="Avg Customer Rating" measure="1" displayFolder="" measureGroup="Feedback" count="0"/>
    <cacheHierarchy uniqueName="[Measures].[Total Revenue]" caption="Total Revenue" measure="1" displayFolder="" measureGroup="Sales" count="0"/>
    <cacheHierarchy uniqueName="[Measures].[__XL_Count Clients]" caption="__XL_Count Clients" measure="1" displayFolder="" measureGroup="Client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Feedback]" caption="__XL_Count Feedback" measure="1" displayFolder="" measureGroup="Feedback"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6073047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5D49F1-E87D-416D-B779-F29C57E9A3E7}" name="PivotTable1" cacheId="2" applyNumberFormats="0" applyBorderFormats="0" applyFontFormats="0" applyPatternFormats="0" applyAlignmentFormats="0" applyWidthHeightFormats="1" dataCaption="Values" tag="7524d66f-d8d0-40a3-a9ad-fd487b146d6a" updatedVersion="8" minRefreshableVersion="3" useAutoFormatting="1" itemPrintTitles="1" createdVersion="8" indent="0" outline="1" outlineData="1" multipleFieldFilters="0">
  <location ref="A1:C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ales]"/>
        <x15:activeTabTopLevelEntity name="[Feedback]"/>
        <x15:activeTabTopLevelEntity name="[Cl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80156E-5BA9-4934-A922-4B5DF5AEB43B}" name="PivotTable3" cacheId="0" applyNumberFormats="0" applyBorderFormats="0" applyFontFormats="0" applyPatternFormats="0" applyAlignmentFormats="0" applyWidthHeightFormats="1" dataCaption="Values" tag="36bbd165-8c29-4642-af70-78909782183c" updatedVersion="8" minRefreshableVersion="3" useAutoFormatting="1" itemPrintTitles="1" createdVersion="8" indent="0" outline="1" outlineData="1" multipleFieldFilters="0" chartFormat="15">
  <location ref="E10:F16"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1">
    <chartFormat chart="14"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9">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l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55E3B5-0516-431F-85FA-7EF300666D65}" name="PivotTable2" cacheId="1" applyNumberFormats="0" applyBorderFormats="0" applyFontFormats="0" applyPatternFormats="0" applyAlignmentFormats="0" applyWidthHeightFormats="1" dataCaption="Values" tag="45b9e8bd-2814-432c-a8d1-755216127beb" updatedVersion="8" minRefreshableVersion="3" useAutoFormatting="1" itemPrintTitles="1" createdVersion="8" indent="0" outline="1" outlineData="1" multipleFieldFilters="0" chartFormat="6">
  <location ref="A10:B18" firstHeaderRow="1" firstDataRow="1" firstDataCol="1"/>
  <pivotFields count="4">
    <pivotField axis="axisRow" allDrilled="1" subtotalTop="0" showAll="0" dataSourceSort="1" defaultSubtotal="0" defaultAttributeDrillState="1">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s>
    </pivotField>
    <pivotField axis="axisRow" allDrilled="1" subtotalTop="0" showAll="0" dataSourceSort="1" defaultSubtotal="0">
      <items count="7">
        <item x="0" e="0"/>
        <item x="1" e="0"/>
        <item x="2" e="0"/>
        <item x="3" e="0"/>
        <item x="4" e="0"/>
        <item x="5" e="0"/>
        <item x="6" e="0"/>
      </items>
    </pivotField>
    <pivotField dataField="1" subtotalTop="0" showAll="0" defaultSubtotal="0"/>
    <pivotField allDrilled="1" subtotalTop="0" showAll="0" dataSourceSort="1" defaultSubtotal="0" defaultAttributeDrillState="1"/>
  </pivotFields>
  <rowFields count="2">
    <field x="1"/>
    <field x="0"/>
  </rowFields>
  <rowItems count="8">
    <i>
      <x/>
    </i>
    <i>
      <x v="1"/>
    </i>
    <i>
      <x v="2"/>
    </i>
    <i>
      <x v="3"/>
    </i>
    <i>
      <x v="4"/>
    </i>
    <i>
      <x v="5"/>
    </i>
    <i>
      <x v="6"/>
    </i>
    <i t="grand">
      <x/>
    </i>
  </rowItems>
  <colItems count="1">
    <i/>
  </colItems>
  <dataFields count="1">
    <dataField fld="2"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les]"/>
        <x15:activeTabTopLevelEntity name="[Clien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57040CE-D942-4C66-89CD-B2B96843ABC0}" sourceName="[Clients].[Region]">
  <pivotTables>
    <pivotTable tabId="2" name="PivotTable3"/>
    <pivotTable tabId="2" name="PivotTable1"/>
    <pivotTable tabId="2" name="PivotTable2"/>
  </pivotTables>
  <data>
    <olap pivotCacheId="2060730470">
      <levels count="2">
        <level uniqueName="[Clients].[Region].[(All)]" sourceCaption="(All)" count="0"/>
        <level uniqueName="[Clients].[Region].[Region]" sourceCaption="Region" count="11">
          <ranges>
            <range startItem="0">
              <i n="[Clients].[Region].&amp;[East Midlands]" c="East Midlands"/>
              <i n="[Clients].[Region].&amp;[Greater London]" c="Greater London"/>
              <i n="[Clients].[Region].&amp;[N. Ireland]" c="N. Ireland"/>
              <i n="[Clients].[Region].&amp;[North East]" c="North East"/>
              <i n="[Clients].[Region].&amp;[North West]" c="North West"/>
              <i n="[Clients].[Region].&amp;[Scotland]" c="Scotland"/>
              <i n="[Clients].[Region].&amp;[South East]" c="South East"/>
              <i n="[Clients].[Region].&amp;[South West]" c="South West"/>
              <i n="[Clients].[Region].&amp;[Wales]" c="Wales"/>
              <i n="[Clients].[Region].&amp;[West Midlands]" c="West Midlands"/>
              <i n="[Clients].[Region].&amp;[Yorkshire]" c="Yorkshire"/>
            </range>
          </ranges>
        </level>
      </levels>
      <selections count="1">
        <selection n="[Client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E69606D-7350-46E8-B7F7-1CE453E50F80}" cache="Slicer_Region" caption="Region"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4"/>
  <sheetViews>
    <sheetView showGridLines="0" tabSelected="1" workbookViewId="0">
      <selection activeCell="L3" sqref="L3"/>
    </sheetView>
  </sheetViews>
  <sheetFormatPr defaultRowHeight="14.5" x14ac:dyDescent="0.35"/>
  <cols>
    <col min="2" max="2" width="13.453125" bestFit="1" customWidth="1"/>
  </cols>
  <sheetData>
    <row r="1" spans="2:5" ht="33.5" x14ac:dyDescent="0.75">
      <c r="B1" s="1" t="s">
        <v>0</v>
      </c>
      <c r="C1" s="1"/>
      <c r="D1" s="1"/>
      <c r="E1" s="1"/>
    </row>
    <row r="3" spans="2:5" ht="21" x14ac:dyDescent="0.5">
      <c r="B3" s="7" t="s">
        <v>18</v>
      </c>
      <c r="E3" s="7" t="s">
        <v>19</v>
      </c>
    </row>
    <row r="4" spans="2:5" ht="28.5" x14ac:dyDescent="0.65">
      <c r="B4" s="6">
        <f>GETPIVOTDATA("[Measures].[Total Revenue]",Calculation_Sheet!$A$1)</f>
        <v>257232</v>
      </c>
      <c r="E4" s="6">
        <f>GETPIVOTDATA("[Measures].[Avg Customer Rating]",Calculation_Sheet!$A$1)</f>
        <v>3.7333333333333334</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C2271-267A-4B36-AB98-5F4DAB9CD4E2}">
  <dimension ref="A1:F18"/>
  <sheetViews>
    <sheetView workbookViewId="0">
      <selection activeCell="A2" sqref="A2"/>
    </sheetView>
  </sheetViews>
  <sheetFormatPr defaultRowHeight="14.5" x14ac:dyDescent="0.35"/>
  <cols>
    <col min="1" max="1" width="12.7265625" bestFit="1" customWidth="1"/>
    <col min="2" max="2" width="10.7265625" bestFit="1" customWidth="1"/>
    <col min="3" max="3" width="18.36328125" bestFit="1" customWidth="1"/>
    <col min="5" max="5" width="15.81640625" bestFit="1" customWidth="1"/>
    <col min="6" max="6" width="12.7265625" bestFit="1" customWidth="1"/>
  </cols>
  <sheetData>
    <row r="1" spans="1:6" x14ac:dyDescent="0.35">
      <c r="A1" t="s">
        <v>1</v>
      </c>
      <c r="B1" t="s">
        <v>2</v>
      </c>
      <c r="C1" t="s">
        <v>3</v>
      </c>
    </row>
    <row r="2" spans="1:6" x14ac:dyDescent="0.35">
      <c r="A2" s="2">
        <v>257232</v>
      </c>
      <c r="B2" s="2">
        <v>73879</v>
      </c>
      <c r="C2" s="3">
        <v>3.7333333333333334</v>
      </c>
    </row>
    <row r="10" spans="1:6" x14ac:dyDescent="0.35">
      <c r="A10" s="4" t="s">
        <v>4</v>
      </c>
      <c r="B10" t="s">
        <v>1</v>
      </c>
      <c r="E10" s="4" t="s">
        <v>4</v>
      </c>
      <c r="F10" t="s">
        <v>1</v>
      </c>
    </row>
    <row r="11" spans="1:6" x14ac:dyDescent="0.35">
      <c r="A11" s="5" t="s">
        <v>6</v>
      </c>
      <c r="B11" s="2">
        <v>37827</v>
      </c>
      <c r="E11" s="5" t="s">
        <v>13</v>
      </c>
      <c r="F11" s="2">
        <v>15181</v>
      </c>
    </row>
    <row r="12" spans="1:6" x14ac:dyDescent="0.35">
      <c r="A12" s="5" t="s">
        <v>7</v>
      </c>
      <c r="B12" s="2">
        <v>34724</v>
      </c>
      <c r="E12" s="5" t="s">
        <v>14</v>
      </c>
      <c r="F12" s="2">
        <v>25254</v>
      </c>
    </row>
    <row r="13" spans="1:6" x14ac:dyDescent="0.35">
      <c r="A13" s="5" t="s">
        <v>8</v>
      </c>
      <c r="B13" s="2">
        <v>39709</v>
      </c>
      <c r="E13" s="5" t="s">
        <v>15</v>
      </c>
      <c r="F13" s="2">
        <v>13592</v>
      </c>
    </row>
    <row r="14" spans="1:6" x14ac:dyDescent="0.35">
      <c r="A14" s="5" t="s">
        <v>9</v>
      </c>
      <c r="B14" s="2">
        <v>37430</v>
      </c>
      <c r="E14" s="5" t="s">
        <v>16</v>
      </c>
      <c r="F14" s="2">
        <v>24674</v>
      </c>
    </row>
    <row r="15" spans="1:6" x14ac:dyDescent="0.35">
      <c r="A15" s="5" t="s">
        <v>10</v>
      </c>
      <c r="B15" s="2">
        <v>41877</v>
      </c>
      <c r="E15" s="5" t="s">
        <v>17</v>
      </c>
      <c r="F15" s="2">
        <v>15807</v>
      </c>
    </row>
    <row r="16" spans="1:6" x14ac:dyDescent="0.35">
      <c r="A16" s="5" t="s">
        <v>11</v>
      </c>
      <c r="B16" s="2">
        <v>33338</v>
      </c>
      <c r="E16" s="5" t="s">
        <v>5</v>
      </c>
      <c r="F16" s="2">
        <v>94508</v>
      </c>
    </row>
    <row r="17" spans="1:2" x14ac:dyDescent="0.35">
      <c r="A17" s="5" t="s">
        <v>12</v>
      </c>
      <c r="B17" s="2">
        <v>32327</v>
      </c>
    </row>
    <row r="18" spans="1:2" x14ac:dyDescent="0.35">
      <c r="A18" s="5" t="s">
        <v>5</v>
      </c>
      <c r="B18" s="2">
        <v>257232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6847E893-2ADF-4C45-9BBB-58ED028CB01C}">
  <ds:schemaRefs/>
</ds:datastoreItem>
</file>

<file path=customXml/itemProps2.xml><?xml version="1.0" encoding="utf-8"?>
<ds:datastoreItem xmlns:ds="http://schemas.openxmlformats.org/officeDocument/2006/customXml" ds:itemID="{1E2A68C1-D35D-42AD-99F7-B63ADEE3D016}">
  <ds:schemaRefs/>
</ds:datastoreItem>
</file>

<file path=customXml/itemProps3.xml><?xml version="1.0" encoding="utf-8"?>
<ds:datastoreItem xmlns:ds="http://schemas.openxmlformats.org/officeDocument/2006/customXml" ds:itemID="{05256BFF-E9C0-459D-A998-7328D86E18A9}">
  <ds:schemaRefs/>
</ds:datastoreItem>
</file>

<file path=customXml/itemProps4.xml><?xml version="1.0" encoding="utf-8"?>
<ds:datastoreItem xmlns:ds="http://schemas.openxmlformats.org/officeDocument/2006/customXml" ds:itemID="{F4921DA7-334D-46C1-A765-6E874F85D6A5}">
  <ds:schemaRefs/>
</ds:datastoreItem>
</file>

<file path=customXml/itemProps5.xml><?xml version="1.0" encoding="utf-8"?>
<ds:datastoreItem xmlns:ds="http://schemas.openxmlformats.org/officeDocument/2006/customXml" ds:itemID="{669FA2E8-D369-4719-A913-8238D1A30B62}">
  <ds:schemaRefs/>
</ds:datastoreItem>
</file>

<file path=customXml/itemProps6.xml><?xml version="1.0" encoding="utf-8"?>
<ds:datastoreItem xmlns:ds="http://schemas.openxmlformats.org/officeDocument/2006/customXml" ds:itemID="{F24F384A-9220-4072-B984-0FEA609EC93D}">
  <ds:schemaRefs/>
</ds:datastoreItem>
</file>

<file path=customXml/itemProps7.xml><?xml version="1.0" encoding="utf-8"?>
<ds:datastoreItem xmlns:ds="http://schemas.openxmlformats.org/officeDocument/2006/customXml" ds:itemID="{AA90725D-40B2-46A6-99FE-116D1F38EDA2}">
  <ds:schemaRefs/>
</ds:datastoreItem>
</file>

<file path=customXml/itemProps8.xml><?xml version="1.0" encoding="utf-8"?>
<ds:datastoreItem xmlns:ds="http://schemas.openxmlformats.org/officeDocument/2006/customXml" ds:itemID="{87B4240B-5B0F-47B4-A76D-5BF07D9EC40C}">
  <ds:schemaRefs/>
</ds:datastoreItem>
</file>

<file path=customXml/itemProps9.xml><?xml version="1.0" encoding="utf-8"?>
<ds:datastoreItem xmlns:ds="http://schemas.openxmlformats.org/officeDocument/2006/customXml" ds:itemID="{CCDCA252-FAB7-4F03-B74C-9C462FBED752}">
  <ds:schemaRefs/>
</ds:datastoreItem>
</file>

<file path=customXml/itemProps10.xml><?xml version="1.0" encoding="utf-8"?>
<ds:datastoreItem xmlns:ds="http://schemas.openxmlformats.org/officeDocument/2006/customXml" ds:itemID="{487338AA-25B3-484A-93E4-0C7024C510D1}">
  <ds:schemaRefs/>
</ds:datastoreItem>
</file>

<file path=customXml/itemProps11.xml><?xml version="1.0" encoding="utf-8"?>
<ds:datastoreItem xmlns:ds="http://schemas.openxmlformats.org/officeDocument/2006/customXml" ds:itemID="{BB751027-D95A-446F-864B-C3A51485FEED}">
  <ds:schemaRefs/>
</ds:datastoreItem>
</file>

<file path=customXml/itemProps12.xml><?xml version="1.0" encoding="utf-8"?>
<ds:datastoreItem xmlns:ds="http://schemas.openxmlformats.org/officeDocument/2006/customXml" ds:itemID="{401ADCF5-E06E-42ED-A65D-CFD6289A6F17}">
  <ds:schemaRefs/>
</ds:datastoreItem>
</file>

<file path=customXml/itemProps13.xml><?xml version="1.0" encoding="utf-8"?>
<ds:datastoreItem xmlns:ds="http://schemas.openxmlformats.org/officeDocument/2006/customXml" ds:itemID="{BBEF8A10-09F1-44C4-A379-01208591AAEE}">
  <ds:schemaRefs/>
</ds:datastoreItem>
</file>

<file path=customXml/itemProps14.xml><?xml version="1.0" encoding="utf-8"?>
<ds:datastoreItem xmlns:ds="http://schemas.openxmlformats.org/officeDocument/2006/customXml" ds:itemID="{32111AA2-5D4B-4ADA-A7F7-1F5BFF9EF5B2}">
  <ds:schemaRefs>
    <ds:schemaRef ds:uri="http://schemas.microsoft.com/DataMashup"/>
  </ds:schemaRefs>
</ds:datastoreItem>
</file>

<file path=customXml/itemProps15.xml><?xml version="1.0" encoding="utf-8"?>
<ds:datastoreItem xmlns:ds="http://schemas.openxmlformats.org/officeDocument/2006/customXml" ds:itemID="{B9F4DEE4-B583-4714-8F68-6237D5925408}">
  <ds:schemaRefs/>
</ds:datastoreItem>
</file>

<file path=customXml/itemProps16.xml><?xml version="1.0" encoding="utf-8"?>
<ds:datastoreItem xmlns:ds="http://schemas.openxmlformats.org/officeDocument/2006/customXml" ds:itemID="{B452056C-0D9D-4110-BC0C-F6FB0D0949EC}">
  <ds:schemaRefs/>
</ds:datastoreItem>
</file>

<file path=customXml/itemProps17.xml><?xml version="1.0" encoding="utf-8"?>
<ds:datastoreItem xmlns:ds="http://schemas.openxmlformats.org/officeDocument/2006/customXml" ds:itemID="{8998D87B-4828-4B1D-9377-CA6379ED8735}">
  <ds:schemaRefs/>
</ds:datastoreItem>
</file>

<file path=customXml/itemProps18.xml><?xml version="1.0" encoding="utf-8"?>
<ds:datastoreItem xmlns:ds="http://schemas.openxmlformats.org/officeDocument/2006/customXml" ds:itemID="{2C155046-3F04-4A4E-93F2-B4AF4857475F}">
  <ds:schemaRefs/>
</ds:datastoreItem>
</file>

<file path=customXml/itemProps19.xml><?xml version="1.0" encoding="utf-8"?>
<ds:datastoreItem xmlns:ds="http://schemas.openxmlformats.org/officeDocument/2006/customXml" ds:itemID="{593B3EE1-8800-4B1C-A0AF-57FA1D28B3AA}">
  <ds:schemaRefs/>
</ds:datastoreItem>
</file>

<file path=customXml/itemProps20.xml><?xml version="1.0" encoding="utf-8"?>
<ds:datastoreItem xmlns:ds="http://schemas.openxmlformats.org/officeDocument/2006/customXml" ds:itemID="{C4BC1F3E-1CD2-40A6-A39F-0E532D8A5D0F}">
  <ds:schemaRefs/>
</ds:datastoreItem>
</file>

<file path=customXml/itemProps21.xml><?xml version="1.0" encoding="utf-8"?>
<ds:datastoreItem xmlns:ds="http://schemas.openxmlformats.org/officeDocument/2006/customXml" ds:itemID="{7878701C-9C2F-453F-B8D0-7737A47469F5}">
  <ds:schemaRefs/>
</ds:datastoreItem>
</file>

<file path=customXml/itemProps22.xml><?xml version="1.0" encoding="utf-8"?>
<ds:datastoreItem xmlns:ds="http://schemas.openxmlformats.org/officeDocument/2006/customXml" ds:itemID="{0513CF8C-E7C5-4FD7-BF99-8D9510E710B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Calculation_Sheet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Syrek</dc:creator>
  <cp:lastModifiedBy>David Syrek</cp:lastModifiedBy>
  <dcterms:created xsi:type="dcterms:W3CDTF">2015-06-05T18:17:20Z</dcterms:created>
  <dcterms:modified xsi:type="dcterms:W3CDTF">2026-03-31T10:25:30Z</dcterms:modified>
</cp:coreProperties>
</file>