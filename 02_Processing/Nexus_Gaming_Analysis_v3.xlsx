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https://d.docs.live.net/c1b8b0ebbab43d41/Data Aanyltics/Study/Nexus_Gaming_Analysis/02_Processing/"/>
    </mc:Choice>
  </mc:AlternateContent>
  <xr:revisionPtr revIDLastSave="0" documentId="8_{69599A6C-CBAF-442A-889E-E12C2D3B7258}" xr6:coauthVersionLast="47" xr6:coauthVersionMax="47" xr10:uidLastSave="{00000000-0000-0000-0000-000000000000}"/>
  <bookViews>
    <workbookView xWindow="-110" yWindow="-110" windowWidth="25820" windowHeight="15500" xr2:uid="{00000000-000D-0000-FFFF-FFFF00000000}"/>
  </bookViews>
  <sheets>
    <sheet name="Dashboard" sheetId="1" r:id="rId1"/>
    <sheet name="Calculation_Sheet" sheetId="2" r:id="rId2"/>
  </sheets>
  <definedNames>
    <definedName name="Slicer_Region">#N/A</definedName>
  </definedNames>
  <calcPr calcId="191029"/>
  <pivotCaches>
    <pivotCache cacheId="654" r:id="rId3"/>
    <pivotCache cacheId="657" r:id="rId4"/>
    <pivotCache cacheId="660" r:id="rId5"/>
  </pivotCaches>
  <extLst>
    <ext xmlns:x14="http://schemas.microsoft.com/office/spreadsheetml/2009/9/main" uri="{876F7934-8845-4945-9796-88D515C7AA90}">
      <x14:pivotCaches>
        <pivotCache cacheId="425" r:id="rId6"/>
      </x14:pivotCaches>
    </ex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ients_be646fd3-9bd9-444f-8bd0-80b876952d4c" name="Clients" connection="Query - Clients"/>
          <x15:modelTable id="Products_fd5d8677-ee29-406c-aeb2-350d3a6fa60d" name="Products" connection="Query - Products"/>
          <x15:modelTable id="Sales_f14040e0-dcbd-4fc7-a562-09b4388a7e1d" name="Sales" connection="Query - Sales"/>
          <x15:modelTable id="Feedback_1316c7af-a3ee-4969-b9a4-acd90de23f40" name="Feedback" connection="Query - Feedback"/>
          <x15:modelTable id="Calendar_b6918bb4-2a30-44f3-a277-847eb4b8999b" name="Calendar" connection="Query - Calendar"/>
        </x15:modelTables>
        <x15:modelRelationships>
          <x15:modelRelationship fromTable="Sales" fromColumn="Product_ID" toTable="Products" toColumn="Product_ID"/>
          <x15:modelRelationship fromTable="Sales" fromColumn="Client_ID" toTable="Clients" toColumn="Client_ID"/>
          <x15:modelRelationship fromTable="Sales" fromColumn="Order_Date" toTable="Calendar" toColumn="Calendar"/>
          <x15:modelRelationship fromTable="Sales" fromColumn="Transaction_ID" toTable="Feedback" toColumn="Transaction_ID"/>
        </x15:modelRelationships>
        <x15:extLst>
          <ext xmlns:x16="http://schemas.microsoft.com/office/spreadsheetml/2014/11/main" uri="{9835A34E-60A6-4A7C-AAB8-D5F71C897F49}">
            <x16:modelTimeGroupings>
              <x16:modelTimeGrouping tableName="Calendar" columnName="Calendar" columnId="Calendar">
                <x16:calculatedTimeColumn columnName="Calendar (Month Index)" columnId="Calendar (Month Index)" contentType="monthsindex" isSelected="1"/>
                <x16:calculatedTimeColumn columnName="Calendar (Month)" columnId="Calendar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 i="2" l="1"/>
  <c r="F2" i="2"/>
  <c r="E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3453EF-7248-459D-8743-01917D4B1DC6}" name="Query - Calendar" description="Connection to the 'Calendar' query in the workbook." type="100" refreshedVersion="8" minRefreshableVersion="5">
    <extLst>
      <ext xmlns:x15="http://schemas.microsoft.com/office/spreadsheetml/2010/11/main" uri="{DE250136-89BD-433C-8126-D09CA5730AF9}">
        <x15:connection id="140bd85e-a34a-4088-97bc-f59da5739ee4"/>
      </ext>
    </extLst>
  </connection>
  <connection id="2" xr16:uid="{D092DEF3-D835-40E7-9D61-7095883915DF}" name="Query - Clients" description="Connection to the 'Clients' query in the workbook." type="100" refreshedVersion="8" minRefreshableVersion="5">
    <extLst>
      <ext xmlns:x15="http://schemas.microsoft.com/office/spreadsheetml/2010/11/main" uri="{DE250136-89BD-433C-8126-D09CA5730AF9}">
        <x15:connection id="79705e2a-a644-4ff9-81fe-43bc5383c4a9"/>
      </ext>
    </extLst>
  </connection>
  <connection id="3" xr16:uid="{5668979D-E7BF-45CB-954E-460169057F73}" name="Query - Feedback" description="Connection to the 'Feedback' query in the workbook." type="100" refreshedVersion="8" minRefreshableVersion="5">
    <extLst>
      <ext xmlns:x15="http://schemas.microsoft.com/office/spreadsheetml/2010/11/main" uri="{DE250136-89BD-433C-8126-D09CA5730AF9}">
        <x15:connection id="2eabb503-1331-4777-b0f6-10fd7b1e1dec"/>
      </ext>
    </extLst>
  </connection>
  <connection id="4" xr16:uid="{800C9387-2523-40DE-B113-64BEF2B4BB44}" name="Query - Products" description="Connection to the 'Products' query in the workbook." type="100" refreshedVersion="8" minRefreshableVersion="5">
    <extLst>
      <ext xmlns:x15="http://schemas.microsoft.com/office/spreadsheetml/2010/11/main" uri="{DE250136-89BD-433C-8126-D09CA5730AF9}">
        <x15:connection id="dddbc24e-ac2a-4b28-a057-da5cfb36342d"/>
      </ext>
    </extLst>
  </connection>
  <connection id="5" xr16:uid="{6FA90EF7-11D5-4B5D-98AC-99330A9C21BB}" name="Query - Sales" description="Connection to the 'Sales' query in the workbook." type="100" refreshedVersion="8" minRefreshableVersion="5">
    <extLst>
      <ext xmlns:x15="http://schemas.microsoft.com/office/spreadsheetml/2010/11/main" uri="{DE250136-89BD-433C-8126-D09CA5730AF9}">
        <x15:connection id="3eb91d10-9816-437e-958b-73d9250bfd73"/>
      </ext>
    </extLst>
  </connection>
  <connection id="6" xr16:uid="{246F7954-C808-4B0A-8F6A-830C25BA4E8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<sst xmlns="http://schemas.openxmlformats.org/spreadsheetml/2006/main" count="25" uniqueCount="21">
  <si>
    <t>NEXUS GAMING - B2B PERFORMANCE</t>
  </si>
  <si>
    <t>Total Revenue</t>
  </si>
  <si>
    <t>Gross Profit</t>
  </si>
  <si>
    <t>Avg Customer Rating</t>
  </si>
  <si>
    <t>Row Labels</t>
  </si>
  <si>
    <t>Grand Total</t>
  </si>
  <si>
    <t>Jan</t>
  </si>
  <si>
    <t>Feb</t>
  </si>
  <si>
    <t>Mar</t>
  </si>
  <si>
    <t>Apr</t>
  </si>
  <si>
    <t>May</t>
  </si>
  <si>
    <t>Jun</t>
  </si>
  <si>
    <t>Jul</t>
  </si>
  <si>
    <t>ASUS ROG Ally X</t>
  </si>
  <si>
    <t>RTX 4070 Super</t>
  </si>
  <si>
    <t>RTX 4090 Extreme</t>
  </si>
  <si>
    <t>RX 7900 XTX</t>
  </si>
  <si>
    <t>Xbox Series X</t>
  </si>
  <si>
    <t>TOTAL REVENUE</t>
  </si>
  <si>
    <t>AVERAGE RATING</t>
  </si>
  <si>
    <t>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</si>
</sst>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9" formatCode="_-[$£-809]* #,##0_-;\-[$£-809]* #,##0_-;_-[$£-809]* &quot;-&quot;??_-;_-@_-"/>
  </numFmts>
  <fonts count="5" x14ac:knownFonts="1">
    <font>
      <sz val="11"/>
      <color theme="1"/>
      <name val="Corbel"/>
      <family val="2"/>
      <scheme val="minor"/>
    </font>
    <font>
      <b/>
      <sz val="26"/>
      <color theme="1"/>
      <name val="Corbel"/>
      <family val="2"/>
      <charset val="238"/>
      <scheme val="minor"/>
    </font>
    <font>
      <b/>
      <sz val="22"/>
      <color theme="4" tint="-0.249977111117893"/>
      <name val="Corbel"/>
      <family val="2"/>
      <charset val="238"/>
      <scheme val="minor"/>
    </font>
    <font>
      <sz val="11"/>
      <color theme="2" tint="-0.249977111117893"/>
      <name val="Corbel"/>
      <family val="2"/>
      <scheme val="minor"/>
    </font>
    <font>
      <b/>
      <sz val="16"/>
      <color theme="1"/>
      <name val="Corbe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2" fillId="0" borderId="0" xfId="0" applyFont="1"/>
    <xf numFmtId="0" fontId="3" fillId="0" borderId="0" xfId="0" applyFont="1"/>
    <xf numFmtId="0" fontId="4" fillId="0" borderId="0" xfId="0" applyFont="1"/>
    <xf numFmtId="0" fontId="0" fillId="0" borderId="0" xfId="0" applyFont="1"/>
    <xf numFmtId="164" fontId="0" fillId="0" borderId="0" xfId="0" applyNumberFormat="1"/>
    <xf numFmtId="169" fontId="0" fillId="0" borderId="0" xfId="0" applyNumberFormat="1"/>
  </cellXfs>
  <cellStyles count="1">
    <cellStyle name="Normal" xfId="0" builtinId="0"/>
  </cellStyles>
  <dxfs count="46">
    <dxf>
      <numFmt numFmtId="169" formatCode="_-[$£-809]* #,##0_-;\-[$£-809]* #,##0_-;_-[$£-809]* &quot;-&quot;??_-;_-@_-"/>
    </dxf>
    <dxf>
      <numFmt numFmtId="169" formatCode="_-[$£-809]* #,##0_-;\-[$£-809]* #,##0_-;_-[$£-809]* &quot;-&quot;??_-;_-@_-"/>
    </dxf>
    <dxf>
      <numFmt numFmtId="169" formatCode="_-[$£-809]* #,##0_-;\-[$£-809]* #,##0_-;_-[$£-809]* &quot;-&quot;??_-;_-@_-"/>
    </dxf>
    <dxf>
      <numFmt numFmtId="169" formatCode="_-[$£-809]* #,##0_-;\-[$£-809]* #,##0_-;_-[$£-809]* &quot;-&quot;??_-;_-@_-"/>
    </dxf>
    <dxf>
      <numFmt numFmtId="169" formatCode="_-[$£-809]* #,##0_-;\-[$£-809]* #,##0_-;_-[$£-809]* &quot;-&quot;??_-;_-@_-"/>
    </dxf>
    <dxf>
      <numFmt numFmtId="169" formatCode="_-[$£-809]* #,##0_-;\-[$£-809]* #,##0_-;_-[$£-809]* &quot;-&quot;??_-;_-@_-"/>
    </dxf>
    <dxf>
      <numFmt numFmtId="169" formatCode="_-[$£-809]* #,##0_-;\-[$£-809]* #,##0_-;_-[$£-809]* &quot;-&quot;??_-;_-@_-"/>
    </dxf>
    <dxf>
      <numFmt numFmtId="169" formatCode="_-[$£-809]* #,##0_-;\-[$£-809]* #,##0_-;_-[$£-809]* &quot;-&quot;??_-;_-@_-"/>
    </dxf>
    <dxf>
      <numFmt numFmtId="169" formatCode="_-[$£-809]* #,##0_-;\-[$£-809]* #,##0_-;_-[$£-809]* &quot;-&quot;??_-;_-@_-"/>
    </dxf>
    <dxf>
      <numFmt numFmtId="169" formatCode="_-[$£-809]* #,##0_-;\-[$£-809]* #,##0_-;_-[$£-809]* &quot;-&quot;??_-;_-@_-"/>
    </dxf>
    <dxf>
      <numFmt numFmtId="169" formatCode="_-[$£-809]* #,##0_-;\-[$£-809]* #,##0_-;_-[$£-809]* &quot;-&quot;??_-;_-@_-"/>
    </dxf>
    <dxf>
      <numFmt numFmtId="169" formatCode="_-[$£-809]* #,##0_-;\-[$£-809]* #,##0_-;_-[$£-809]* &quot;-&quot;??_-;_-@_-"/>
    </dxf>
    <dxf>
      <numFmt numFmtId="169" formatCode="_-[$£-809]* #,##0_-;\-[$£-809]* #,##0_-;_-[$£-809]* &quot;-&quot;??_-;_-@_-"/>
    </dxf>
    <dxf>
      <numFmt numFmtId="169" formatCode="_-[$£-809]* #,##0_-;\-[$£-809]* #,##0_-;_-[$£-809]* &quot;-&quot;??_-;_-@_-"/>
    </dxf>
    <dxf>
      <numFmt numFmtId="169" formatCode="_-[$£-809]* #,##0_-;\-[$£-809]* #,##0_-;_-[$£-809]* &quot;-&quot;??_-;_-@_-"/>
    </dxf>
    <dxf>
      <numFmt numFmtId="169" formatCode="_-[$£-809]* #,##0_-;\-[$£-809]* #,##0_-;_-[$£-809]* &quot;-&quot;??_-;_-@_-"/>
    </dxf>
    <dxf>
      <numFmt numFmtId="169" formatCode="_-[$£-809]* #,##0_-;\-[$£-809]* #,##0_-;_-[$£-809]* &quot;-&quot;??_-;_-@_-"/>
    </dxf>
    <dxf>
      <numFmt numFmtId="169" formatCode="_-[$£-809]* #,##0_-;\-[$£-809]* #,##0_-;_-[$£-809]* &quot;-&quot;??_-;_-@_-"/>
    </dxf>
    <dxf>
      <numFmt numFmtId="169" formatCode="_-[$£-809]* #,##0_-;\-[$£-809]* #,##0_-;_-[$£-809]* &quot;-&quot;??_-;_-@_-"/>
    </dxf>
    <dxf>
      <numFmt numFmtId="169" formatCode="_-[$£-809]* #,##0_-;\-[$£-809]* #,##0_-;_-[$£-809]* &quot;-&quot;??_-;_-@_-"/>
    </dxf>
    <dxf>
      <numFmt numFmtId="169" formatCode="_-[$£-809]* #,##0_-;\-[$£-809]* #,##0_-;_-[$£-809]* &quot;-&quot;??_-;_-@_-"/>
    </dxf>
    <dxf>
      <numFmt numFmtId="169" formatCode="_-[$£-809]* #,##0_-;\-[$£-809]* #,##0_-;_-[$£-809]* &quot;-&quot;??_-;_-@_-"/>
    </dxf>
    <dxf>
      <numFmt numFmtId="169" formatCode="_-[$£-809]* #,##0_-;\-[$£-809]* #,##0_-;_-[$£-809]* &quot;-&quot;??_-;_-@_-"/>
    </dxf>
    <dxf>
      <numFmt numFmtId="169" formatCode="_-[$£-809]* #,##0_-;\-[$£-809]* #,##0_-;_-[$£-809]* &quot;-&quot;??_-;_-@_-"/>
    </dxf>
    <dxf>
      <numFmt numFmtId="169" formatCode="_-[$£-809]* #,##0_-;\-[$£-809]* #,##0_-;_-[$£-809]* &quot;-&quot;??_-;_-@_-"/>
    </dxf>
    <dxf>
      <numFmt numFmtId="169" formatCode="_-[$£-809]* #,##0_-;\-[$£-809]* #,##0_-;_-[$£-809]* &quot;-&quot;??_-;_-@_-"/>
    </dxf>
    <dxf>
      <numFmt numFmtId="169" formatCode="_-[$£-809]* #,##0_-;\-[$£-809]* #,##0_-;_-[$£-809]* &quot;-&quot;??_-;_-@_-"/>
    </dxf>
    <dxf>
      <numFmt numFmtId="169" formatCode="_-[$£-809]* #,##0_-;\-[$£-809]* #,##0_-;_-[$£-809]* &quot;-&quot;??_-;_-@_-"/>
    </dxf>
    <dxf>
      <numFmt numFmtId="169" formatCode="_-[$£-809]* #,##0_-;\-[$£-809]* #,##0_-;_-[$£-809]* &quot;-&quot;??_-;_-@_-"/>
    </dxf>
    <dxf>
      <numFmt numFmtId="169" formatCode="_-[$£-809]* #,##0_-;\-[$£-809]* #,##0_-;_-[$£-809]* &quot;-&quot;??_-;_-@_-"/>
    </dxf>
    <dxf>
      <numFmt numFmtId="168" formatCode="_-[$£-809]* #,##0.0_-;\-[$£-809]* #,##0.0_-;_-[$£-809]* &quot;-&quot;??_-;_-@_-"/>
    </dxf>
    <dxf>
      <numFmt numFmtId="169" formatCode="_-[$£-809]* #,##0_-;\-[$£-809]* #,##0_-;_-[$£-809]* &quot;-&quot;??_-;_-@_-"/>
    </dxf>
    <dxf>
      <numFmt numFmtId="168" formatCode="_-[$£-809]* #,##0.0_-;\-[$£-809]* #,##0.0_-;_-[$£-809]* &quot;-&quot;??_-;_-@_-"/>
    </dxf>
    <dxf>
      <numFmt numFmtId="167" formatCode="_-[$£-809]* #,##0.00_-;\-[$£-809]* #,##0.00_-;_-[$£-809]* &quot;-&quot;??_-;_-@_-"/>
    </dxf>
    <dxf>
      <numFmt numFmtId="169" formatCode="_-[$£-809]* #,##0_-;\-[$£-809]* #,##0_-;_-[$£-809]* &quot;-&quot;??_-;_-@_-"/>
    </dxf>
    <dxf>
      <numFmt numFmtId="167" formatCode="_-[$£-809]* #,##0.00_-;\-[$£-809]* #,##0.00_-;_-[$£-809]* &quot;-&quot;??_-;_-@_-"/>
    </dxf>
    <dxf>
      <numFmt numFmtId="166" formatCode="&quot;£&quot;#,##0.00"/>
    </dxf>
    <dxf>
      <numFmt numFmtId="169" formatCode="_-[$£-809]* #,##0_-;\-[$£-809]* #,##0_-;_-[$£-809]* &quot;-&quot;??_-;_-@_-"/>
    </dxf>
    <dxf>
      <numFmt numFmtId="166" formatCode="&quot;£&quot;#,##0.00"/>
    </dxf>
    <dxf>
      <numFmt numFmtId="169" formatCode="_-[$£-809]* #,##0_-;\-[$£-809]* #,##0_-;_-[$£-809]* &quot;-&quot;??_-;_-@_-"/>
    </dxf>
    <dxf>
      <numFmt numFmtId="168" formatCode="_-[$£-809]* #,##0.0_-;\-[$£-809]* #,##0.0_-;_-[$£-809]* &quot;-&quot;??_-;_-@_-"/>
    </dxf>
    <dxf>
      <numFmt numFmtId="168" formatCode="_-[$£-809]* #,##0.0_-;\-[$£-809]* #,##0.0_-;_-[$£-809]* &quot;-&quot;??_-;_-@_-"/>
    </dxf>
    <dxf>
      <numFmt numFmtId="167" formatCode="_-[$£-809]* #,##0.00_-;\-[$£-809]* #,##0.00_-;_-[$£-809]* &quot;-&quot;??_-;_-@_-"/>
    </dxf>
    <dxf>
      <numFmt numFmtId="167" formatCode="_-[$£-809]* #,##0.00_-;\-[$£-809]* #,##0.00_-;_-[$£-809]* &quot;-&quot;??_-;_-@_-"/>
    </dxf>
    <dxf>
      <numFmt numFmtId="166" formatCode="&quot;£&quot;#,##0.00"/>
    </dxf>
    <dxf>
      <numFmt numFmtId="166"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pivotCacheDefinition" Target="pivotCache/pivotCacheDefinition1.xml"/><Relationship Id="rId21" Type="http://schemas.openxmlformats.org/officeDocument/2006/relationships/customXml" Target="../customXml/item8.xml"/><Relationship Id="rId34" Type="http://schemas.openxmlformats.org/officeDocument/2006/relationships/customXml" Target="../customXml/item21.xml"/><Relationship Id="rId7" Type="http://schemas.microsoft.com/office/2007/relationships/slicerCache" Target="slicerCaches/slicerCache1.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sharedStrings" Target="sharedStrings.xml"/><Relationship Id="rId24" Type="http://schemas.openxmlformats.org/officeDocument/2006/relationships/customXml" Target="../customXml/item11.xml"/><Relationship Id="rId32" Type="http://schemas.openxmlformats.org/officeDocument/2006/relationships/customXml" Target="../customXml/item19.xml"/><Relationship Id="rId5" Type="http://schemas.openxmlformats.org/officeDocument/2006/relationships/pivotCacheDefinition" Target="pivotCache/pivotCacheDefinition3.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tyles" Target="style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pivotCacheDefinition" Target="pivotCache/pivotCacheDefinition2.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[Nexus_Gaming_Analysis_v3.xlsx]Calculation_Sheet!PivotTable2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Calculation_Sheet!$B$10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Calculation_Sheet!$A$11:$A$18</c:f>
              <c:strCache>
                <c:ptCount val="7"/>
                <c:pt idx="0">
                  <c:v>Jan</c:v>
                </c:pt>
                <c:pt idx="1">
                  <c:v>Feb</c:v>
                </c:pt>
                <c:pt idx="2">
                  <c:v>Mar</c:v>
                </c:pt>
                <c:pt idx="3">
                  <c:v>Apr</c:v>
                </c:pt>
                <c:pt idx="4">
                  <c:v>May</c:v>
                </c:pt>
                <c:pt idx="5">
                  <c:v>Jun</c:v>
                </c:pt>
                <c:pt idx="6">
                  <c:v>Jul</c:v>
                </c:pt>
              </c:strCache>
            </c:strRef>
          </c:cat>
          <c:val>
            <c:numRef>
              <c:f>Calculation_Sheet!$B$11:$B$18</c:f>
              <c:numCache>
                <c:formatCode>General</c:formatCode>
                <c:ptCount val="7"/>
                <c:pt idx="0">
                  <c:v>37827</c:v>
                </c:pt>
                <c:pt idx="1">
                  <c:v>34724</c:v>
                </c:pt>
                <c:pt idx="2">
                  <c:v>39709</c:v>
                </c:pt>
                <c:pt idx="3">
                  <c:v>37430</c:v>
                </c:pt>
                <c:pt idx="4">
                  <c:v>41877</c:v>
                </c:pt>
                <c:pt idx="5">
                  <c:v>33338</c:v>
                </c:pt>
                <c:pt idx="6">
                  <c:v>32327</c:v>
                </c:pt>
              </c:numCache>
            </c:numRef>
          </c:val>
          <c:smooth val="0"/>
          <c:extLst>
            <c:ext xmlns:c16="http://schemas.microsoft.com/office/drawing/2014/chart" uri="{C3380CC4-5D6E-409C-BE32-E72D297353CC}">
              <c16:uniqueId val="{00000000-73E3-4372-981D-5E14A9D3C085}"/>
            </c:ext>
          </c:extLst>
        </c:ser>
        <c:dLbls>
          <c:dLblPos val="t"/>
          <c:showLegendKey val="0"/>
          <c:showVal val="1"/>
          <c:showCatName val="0"/>
          <c:showSerName val="0"/>
          <c:showPercent val="0"/>
          <c:showBubbleSize val="0"/>
        </c:dLbls>
        <c:smooth val="0"/>
        <c:axId val="486328336"/>
        <c:axId val="576990672"/>
      </c:lineChart>
      <c:catAx>
        <c:axId val="486328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990672"/>
        <c:crosses val="autoZero"/>
        <c:auto val="1"/>
        <c:lblAlgn val="ctr"/>
        <c:lblOffset val="100"/>
        <c:noMultiLvlLbl val="0"/>
      </c:catAx>
      <c:valAx>
        <c:axId val="57699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328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[Nexus_Gaming_Analysis_v3.xlsx]Calculation_Sheet!PivotTable3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Top 5 Products by Revenue</a:t>
            </a:r>
            <a:endParaRPr lang="en-US"/>
          </a:p>
        </c:rich>
      </c:tx>
      <c:layout>
        <c:manualLayout>
          <c:xMode val="edge"/>
          <c:yMode val="edge"/>
          <c:x val="0.36156933508311462"/>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Calculation_Sheet!$F$10</c:f>
              <c:strCache>
                <c:ptCount val="1"/>
                <c:pt idx="0">
                  <c:v>Total</c:v>
                </c:pt>
              </c:strCache>
            </c:strRef>
          </c:tx>
          <c:spPr>
            <a:solidFill>
              <a:schemeClr val="accent1"/>
            </a:solidFill>
            <a:ln>
              <a:noFill/>
            </a:ln>
            <a:effectLst/>
          </c:spPr>
          <c:invertIfNegative val="0"/>
          <c:cat>
            <c:strRef>
              <c:f>Calculation_Sheet!$E$11:$E$16</c:f>
              <c:strCache>
                <c:ptCount val="5"/>
                <c:pt idx="0">
                  <c:v>ASUS ROG Ally X</c:v>
                </c:pt>
                <c:pt idx="1">
                  <c:v>RTX 4070 Super</c:v>
                </c:pt>
                <c:pt idx="2">
                  <c:v>RTX 4090 Extreme</c:v>
                </c:pt>
                <c:pt idx="3">
                  <c:v>RX 7900 XTX</c:v>
                </c:pt>
                <c:pt idx="4">
                  <c:v>Xbox Series X</c:v>
                </c:pt>
              </c:strCache>
            </c:strRef>
          </c:cat>
          <c:val>
            <c:numRef>
              <c:f>Calculation_Sheet!$F$11:$F$16</c:f>
              <c:numCache>
                <c:formatCode>General</c:formatCode>
                <c:ptCount val="5"/>
                <c:pt idx="0">
                  <c:v>15181</c:v>
                </c:pt>
                <c:pt idx="1">
                  <c:v>25254</c:v>
                </c:pt>
                <c:pt idx="2">
                  <c:v>13592</c:v>
                </c:pt>
                <c:pt idx="3">
                  <c:v>24674</c:v>
                </c:pt>
                <c:pt idx="4">
                  <c:v>15807</c:v>
                </c:pt>
              </c:numCache>
            </c:numRef>
          </c:val>
          <c:extLst>
            <c:ext xmlns:c16="http://schemas.microsoft.com/office/drawing/2014/chart" uri="{C3380CC4-5D6E-409C-BE32-E72D297353CC}">
              <c16:uniqueId val="{00000000-374B-4B96-A710-46EEEFFC77F9}"/>
            </c:ext>
          </c:extLst>
        </c:ser>
        <c:dLbls>
          <c:showLegendKey val="0"/>
          <c:showVal val="0"/>
          <c:showCatName val="0"/>
          <c:showSerName val="0"/>
          <c:showPercent val="0"/>
          <c:showBubbleSize val="0"/>
        </c:dLbls>
        <c:gapWidth val="182"/>
        <c:axId val="728024512"/>
        <c:axId val="728024992"/>
      </c:barChart>
      <c:catAx>
        <c:axId val="728024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24992"/>
        <c:crosses val="autoZero"/>
        <c:auto val="1"/>
        <c:lblAlgn val="ctr"/>
        <c:lblOffset val="100"/>
        <c:noMultiLvlLbl val="0"/>
      </c:catAx>
      <c:valAx>
        <c:axId val="728024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24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44450</xdr:colOff>
      <xdr:row>5</xdr:row>
      <xdr:rowOff>101600</xdr:rowOff>
    </xdr:from>
    <xdr:to>
      <xdr:col>8</xdr:col>
      <xdr:colOff>44450</xdr:colOff>
      <xdr:row>20</xdr:row>
      <xdr:rowOff>82550</xdr:rowOff>
    </xdr:to>
    <xdr:graphicFrame macro="">
      <xdr:nvGraphicFramePr>
        <xdr:cNvPr id="2" name="Chart 1">
          <a:extLst>
            <a:ext uri="{FF2B5EF4-FFF2-40B4-BE49-F238E27FC236}">
              <a16:creationId xmlns:a16="http://schemas.microsoft.com/office/drawing/2014/main" id="{72D2C6A6-5950-4664-B89C-2C5C31251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215900</xdr:colOff>
      <xdr:row>5</xdr:row>
      <xdr:rowOff>101600</xdr:rowOff>
    </xdr:from>
    <xdr:to>
      <xdr:col>15</xdr:col>
      <xdr:colOff>520700</xdr:colOff>
      <xdr:row>20</xdr:row>
      <xdr:rowOff>82550</xdr:rowOff>
    </xdr:to>
    <xdr:graphicFrame macro="">
      <xdr:nvGraphicFramePr>
        <xdr:cNvPr id="3" name="Chart 2">
          <a:extLst>
            <a:ext uri="{FF2B5EF4-FFF2-40B4-BE49-F238E27FC236}">
              <a16:creationId xmlns:a16="http://schemas.microsoft.com/office/drawing/2014/main" id="{961B8BC6-352B-4242-9B4B-F0272B6CA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374650</xdr:colOff>
      <xdr:row>6</xdr:row>
      <xdr:rowOff>69850</xdr:rowOff>
    </xdr:from>
    <xdr:to>
      <xdr:col>19</xdr:col>
      <xdr:colOff>222250</xdr:colOff>
      <xdr:row>24</xdr:row>
      <xdr:rowOff>152400</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EA0A267E-1CB1-AF81-8DD9-0D33A0AAD1D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144250" y="1676400"/>
              <a:ext cx="1828800" cy="33972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76200</xdr:colOff>
      <xdr:row>2</xdr:row>
      <xdr:rowOff>228599</xdr:rowOff>
    </xdr:from>
    <xdr:to>
      <xdr:col>8</xdr:col>
      <xdr:colOff>15400</xdr:colOff>
      <xdr:row>4</xdr:row>
      <xdr:rowOff>31949</xdr:rowOff>
    </xdr:to>
    <xdr:sp macro="" textlink="Calculation_Sheet!$F$2">
      <xdr:nvSpPr>
        <xdr:cNvPr id="7" name="TextBox 6">
          <a:extLst>
            <a:ext uri="{FF2B5EF4-FFF2-40B4-BE49-F238E27FC236}">
              <a16:creationId xmlns:a16="http://schemas.microsoft.com/office/drawing/2014/main" id="{7D98C2B1-CEA1-BAD3-F69B-24969B952734}"/>
            </a:ext>
          </a:extLst>
        </xdr:cNvPr>
        <xdr:cNvSpPr txBox="1"/>
      </xdr:nvSpPr>
      <xdr:spPr>
        <a:xfrm>
          <a:off x="4241800" y="838199"/>
          <a:ext cx="1260000" cy="432000"/>
        </a:xfrm>
        <a:prstGeom prst="rect">
          <a:avLst/>
        </a:prstGeom>
        <a:ln>
          <a:solidFill>
            <a:schemeClr val="bg1"/>
          </a:solid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t"/>
        <a:lstStyle/>
        <a:p>
          <a:pPr algn="ctr"/>
          <a:fld id="{91035E8D-D32D-4BFE-9865-55D5F2ADA565}" type="TxLink">
            <a:rPr lang="en-US" sz="1800" b="1" i="0" u="none" strike="noStrike" cap="none" spc="0">
              <a:ln w="0"/>
              <a:solidFill>
                <a:schemeClr val="bg1"/>
              </a:solidFill>
              <a:effectLst>
                <a:outerShdw blurRad="38100" dist="19050" dir="2700000" algn="tl" rotWithShape="0">
                  <a:schemeClr val="dk1">
                    <a:alpha val="40000"/>
                  </a:schemeClr>
                </a:outerShdw>
              </a:effectLst>
              <a:latin typeface="Corbel"/>
              <a:ea typeface="Calibri"/>
              <a:cs typeface="Calibri"/>
            </a:rPr>
            <a:pPr algn="ctr"/>
            <a:t> £73,879 </a:t>
          </a:fld>
          <a:endParaRPr lang="en-GB" sz="18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3</xdr:col>
      <xdr:colOff>228600</xdr:colOff>
      <xdr:row>2</xdr:row>
      <xdr:rowOff>228599</xdr:rowOff>
    </xdr:from>
    <xdr:to>
      <xdr:col>5</xdr:col>
      <xdr:colOff>167800</xdr:colOff>
      <xdr:row>4</xdr:row>
      <xdr:rowOff>31949</xdr:rowOff>
    </xdr:to>
    <xdr:sp macro="" textlink="Calculation_Sheet!$G$2">
      <xdr:nvSpPr>
        <xdr:cNvPr id="8" name="TextBox 7">
          <a:extLst>
            <a:ext uri="{FF2B5EF4-FFF2-40B4-BE49-F238E27FC236}">
              <a16:creationId xmlns:a16="http://schemas.microsoft.com/office/drawing/2014/main" id="{381C457C-8530-65B6-BC99-DA2DCDBCE9CE}"/>
            </a:ext>
          </a:extLst>
        </xdr:cNvPr>
        <xdr:cNvSpPr txBox="1"/>
      </xdr:nvSpPr>
      <xdr:spPr>
        <a:xfrm>
          <a:off x="2571750" y="838199"/>
          <a:ext cx="1260000" cy="432000"/>
        </a:xfrm>
        <a:prstGeom prst="rect">
          <a:avLst/>
        </a:prstGeom>
        <a:ln>
          <a:solidFill>
            <a:schemeClr val="bg1"/>
          </a:solid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t"/>
        <a:lstStyle/>
        <a:p>
          <a:pPr algn="ctr"/>
          <a:fld id="{082CC189-E8CD-493B-AE2C-131772649A39}" type="TxLink">
            <a:rPr lang="en-US" sz="1800" b="1" i="0" u="none" strike="noStrike" cap="none" spc="0">
              <a:ln w="0"/>
              <a:solidFill>
                <a:schemeClr val="bg1"/>
              </a:solidFill>
              <a:effectLst>
                <a:outerShdw blurRad="38100" dist="19050" dir="2700000" algn="tl" rotWithShape="0">
                  <a:schemeClr val="dk1">
                    <a:alpha val="40000"/>
                  </a:schemeClr>
                </a:outerShdw>
              </a:effectLst>
              <a:latin typeface="Corbel"/>
              <a:ea typeface="Calibri"/>
              <a:cs typeface="Calibri"/>
            </a:rPr>
            <a:pPr algn="ctr"/>
            <a:t>3.73</a:t>
          </a:fld>
          <a:endParaRPr lang="en-GB" sz="1800" b="1" cap="none" spc="0">
            <a:ln w="0"/>
            <a:solidFill>
              <a:schemeClr val="bg1"/>
            </a:solidFill>
            <a:effectLst>
              <a:outerShdw blurRad="38100" dist="19050" dir="2700000" algn="tl" rotWithShape="0">
                <a:schemeClr val="dk1">
                  <a:alpha val="40000"/>
                </a:schemeClr>
              </a:outerShdw>
            </a:effectLst>
          </a:endParaRPr>
        </a:p>
      </xdr:txBody>
    </xdr:sp>
    <xdr:clientData/>
  </xdr:twoCellAnchor>
  <xdr:oneCellAnchor>
    <xdr:from>
      <xdr:col>1</xdr:col>
      <xdr:colOff>203200</xdr:colOff>
      <xdr:row>2</xdr:row>
      <xdr:rowOff>228599</xdr:rowOff>
    </xdr:from>
    <xdr:ext cx="1260000" cy="432000"/>
    <xdr:sp macro="" textlink="Calculation_Sheet!$E$2">
      <xdr:nvSpPr>
        <xdr:cNvPr id="9" name="TextBox 8">
          <a:extLst>
            <a:ext uri="{FF2B5EF4-FFF2-40B4-BE49-F238E27FC236}">
              <a16:creationId xmlns:a16="http://schemas.microsoft.com/office/drawing/2014/main" id="{C773E699-191E-A202-37FD-083AD8C9D791}"/>
            </a:ext>
          </a:extLst>
        </xdr:cNvPr>
        <xdr:cNvSpPr txBox="1"/>
      </xdr:nvSpPr>
      <xdr:spPr>
        <a:xfrm>
          <a:off x="863600" y="838199"/>
          <a:ext cx="1260000" cy="432000"/>
        </a:xfrm>
        <a:prstGeom prst="rect">
          <a:avLst/>
        </a:prstGeom>
        <a:ln>
          <a:solidFill>
            <a:schemeClr val="bg1"/>
          </a:solid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t">
          <a:spAutoFit/>
        </a:bodyPr>
        <a:lstStyle/>
        <a:p>
          <a:pPr algn="ctr"/>
          <a:fld id="{BF316139-91BD-4B77-BB24-FB406DE1FA87}" type="TxLink">
            <a:rPr lang="en-US" sz="1800" b="1" i="0" u="none" strike="noStrike" cap="none" spc="0">
              <a:ln w="0"/>
              <a:solidFill>
                <a:schemeClr val="bg1"/>
              </a:solidFill>
              <a:effectLst>
                <a:outerShdw blurRad="38100" dist="19050" dir="2700000" algn="tl" rotWithShape="0">
                  <a:schemeClr val="dk1">
                    <a:alpha val="40000"/>
                  </a:schemeClr>
                </a:outerShdw>
              </a:effectLst>
              <a:latin typeface="Corbel"/>
              <a:ea typeface="Calibri"/>
              <a:cs typeface="Calibri"/>
            </a:rPr>
            <a:pPr algn="ctr"/>
            <a:t> £257,232 </a:t>
          </a:fld>
          <a:endParaRPr lang="en-GB" sz="1800" b="1" cap="none" spc="0">
            <a:ln w="0"/>
            <a:solidFill>
              <a:schemeClr val="bg1"/>
            </a:solidFill>
            <a:effectLst>
              <a:outerShdw blurRad="38100" dist="19050" dir="2700000" algn="tl" rotWithShape="0">
                <a:schemeClr val="dk1">
                  <a:alpha val="40000"/>
                </a:schemeClr>
              </a:outerShdw>
            </a:effectLst>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Syrek" refreshedDate="46114.407233680555" backgroundQuery="1" createdVersion="8" refreshedVersion="8" minRefreshableVersion="3" recordCount="0" supportSubquery="1" supportAdvancedDrill="1" xr:uid="{213ED234-8070-40DB-99FB-936242D57565}">
  <cacheSource type="external" connectionId="6"/>
  <cacheFields count="3">
    <cacheField name="[Products].[Product_Name].[Product_Name]" caption="Product_Name" numFmtId="0" hierarchy="13" level="1">
      <sharedItems count="5">
        <s v="ASUS ROG Ally X"/>
        <s v="RTX 4070 Super"/>
        <s v="RTX 4090 Extreme"/>
        <s v="RX 7900 XTX"/>
        <s v="Xbox Series X"/>
      </sharedItems>
    </cacheField>
    <cacheField name="[Measures].[Total Revenue]" caption="Total Revenue" numFmtId="0" hierarchy="29" level="32767"/>
    <cacheField name="[Clients].[Region].[Region]" caption="Region" numFmtId="0" hierarchy="5" level="1">
      <sharedItems containsSemiMixedTypes="0" containsNonDate="0" containsString="0"/>
    </cacheField>
  </cacheFields>
  <cacheHierarchies count="36">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0" memberValueDatatype="130" unbalanced="0"/>
    <cacheHierarchy uniqueName="[Clients].[Client_ID]" caption="Client_ID" attribute="1" defaultMemberUniqueName="[Clients].[Client_ID].[All]" allUniqueName="[Clients].[Client_ID].[All]" dimensionUniqueName="[Clients]" displayFolder="" count="0" memberValueDatatype="130" unbalanced="0"/>
    <cacheHierarchy uniqueName="[Clients].[Store_Name]" caption="Store_Name" attribute="1" defaultMemberUniqueName="[Clients].[Store_Name].[All]" allUniqueName="[Clients].[Store_Name].[All]" dimensionUniqueName="[Clients]" displayFolder="" count="0" memberValueDatatype="130" unbalanced="0"/>
    <cacheHierarchy uniqueName="[Clients].[City]" caption="City" attribute="1" defaultMemberUniqueName="[Clients].[City].[All]" allUniqueName="[Clients].[City].[All]" dimensionUniqueName="[Clients]" displayFolder="" count="0" memberValueDatatype="130" unbalanced="0"/>
    <cacheHierarchy uniqueName="[Clients].[Region]" caption="Region" attribute="1" defaultMemberUniqueName="[Clients].[Region].[All]" allUniqueName="[Clients].[Region].[All]" dimensionUniqueName="[Clients]" displayFolder="" count="2" memberValueDatatype="130" unbalanced="0">
      <fieldsUsage count="2">
        <fieldUsage x="-1"/>
        <fieldUsage x="2"/>
      </fieldsUsage>
    </cacheHierarchy>
    <cacheHierarchy uniqueName="[Clients].[Store_Type]" caption="Store_Type" attribute="1" defaultMemberUniqueName="[Clients].[Store_Type].[All]" allUniqueName="[Clients].[Store_Type].[All]" dimensionUniqueName="[Clients]" displayFolder="" count="0" memberValueDatatype="130" unbalanced="0"/>
    <cacheHierarchy uniqueName="[Feedback].[Transaction_ID]" caption="Transaction_ID" attribute="1" defaultMemberUniqueName="[Feedback].[Transaction_ID].[All]" allUniqueName="[Feedback].[Transaction_ID].[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20" unbalanced="0"/>
    <cacheHierarchy uniqueName="[Feedback].[Feedback_Comment]" caption="Feedback_Comment" attribute="1" defaultMemberUniqueName="[Feedback].[Feedback_Comment].[All]" allUniqueName="[Feedback].[Feedback_Comment].[All]" dimensionUniqueName="[Feedback]"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Sales].[Order_Date]" caption="Order_Date" attribute="1" time="1" defaultMemberUniqueName="[Sales].[Order_Date].[All]" allUniqueName="[Sales].[Order_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Payment_Status]" caption="Payment_Status" attribute="1" defaultMemberUniqueName="[Sales].[Payment_Status].[All]" allUniqueName="[Sales].[Payment_Status].[All]" dimensionUniqueName="[Sales]" displayFolder="" count="0" memberValueDatatype="130" unbalanced="0"/>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Sales].[Client_ID]" caption="Client_ID" attribute="1" defaultMemberUniqueName="[Sales].[Client_ID].[All]" allUniqueName="[Sales].[Client_ID].[All]" dimensionUniqueName="[Sales]" displayFolder="" count="0" memberValueDatatype="130" unbalanced="0" hidden="1"/>
    <cacheHierarchy uniqueName="[Sales].[Product_ID]" caption="Product_ID" attribute="1" defaultMemberUniqueName="[Sales].[Product_ID].[All]" allUniqueName="[Sales].[Product_ID].[All]" dimensionUniqueName="[Sales]" displayFolder="" count="0" memberValueDatatype="130" unbalanced="0" hidden="1"/>
    <cacheHierarchy uniqueName="[Sales].[Transaction_ID]" caption="Transaction_ID" attribute="1" defaultMemberUniqueName="[Sales].[Transaction_ID].[All]" allUniqueName="[Sales].[Transaction_ID].[All]" dimensionUniqueName="[Sales]" displayFolder="" count="0" memberValueDatatype="130" unbalanced="0" hidden="1"/>
    <cacheHierarchy uniqueName="[Measures].[Total Cost]" caption="Total Cost" measure="1" displayFolder="" measureGroup="Sales" count="0"/>
    <cacheHierarchy uniqueName="[Measures].[Gross Profit]" caption="Gross Profit" measure="1" displayFolder="" measureGroup="Sales" count="0"/>
    <cacheHierarchy uniqueName="[Measures].[Profit Margin %]" caption="Profit Margin %" measure="1" displayFolder="" measureGroup="Sales" count="0"/>
    <cacheHierarchy uniqueName="[Measures].[Total Units Sold]" caption="Total Units Sold" measure="1" displayFolder="" measureGroup="Sales" count="0"/>
    <cacheHierarchy uniqueName="[Measures].[AOV]" caption="AOV" measure="1" displayFolder="" measureGroup="Sales" count="0"/>
    <cacheHierarchy uniqueName="[Measures].[Avg Customer Rating]" caption="Avg Customer Rating" measure="1" displayFolder="" measureGroup="Feedback" count="0"/>
    <cacheHierarchy uniqueName="[Measures].[Total Revenue]" caption="Total Revenue" measure="1" displayFolder="" measureGroup="Sales" count="0" oneField="1">
      <fieldsUsage count="1">
        <fieldUsage x="1"/>
      </fieldsUsage>
    </cacheHierarchy>
    <cacheHierarchy uniqueName="[Measures].[__XL_Count Clients]" caption="__XL_Count Clients" measure="1" displayFolder="" measureGroup="Client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Feedback]" caption="__XL_Count Feedback" measure="1" displayFolder="" measureGroup="Feedb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lients" uniqueName="[Clients]" caption="Clients"/>
    <dimension name="Feedback" uniqueName="[Feedback]" caption="Feedback"/>
    <dimension measure="1" name="Measures" uniqueName="[Measures]" caption="Measures"/>
    <dimension name="Products" uniqueName="[Products]" caption="Products"/>
    <dimension name="Sales" uniqueName="[Sales]" caption="Sales"/>
  </dimensions>
  <measureGroups count="5">
    <measureGroup name="Calendar" caption="Calendar"/>
    <measureGroup name="Clients" caption="Clients"/>
    <measureGroup name="Feedback" caption="Feedback"/>
    <measureGroup name="Products" caption="Products"/>
    <measureGroup name="Sales" caption="Sales"/>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Syrek" refreshedDate="46114.407234027778" backgroundQuery="1" createdVersion="8" refreshedVersion="8" minRefreshableVersion="3" recordCount="0" supportSubquery="1" supportAdvancedDrill="1" xr:uid="{AE393C76-338F-4EC9-B771-8047F06D7522}">
  <cacheSource type="external" connectionId="6"/>
  <cacheFields count="4">
    <cacheField name="[Measures].[Total Revenue]" caption="Total Revenue" numFmtId="0" hierarchy="29" level="32767"/>
    <cacheField name="[Measures].[Gross Profit]" caption="Gross Profit" numFmtId="0" hierarchy="24" level="32767"/>
    <cacheField name="[Measures].[Avg Customer Rating]" caption="Avg Customer Rating" numFmtId="0" hierarchy="28" level="32767"/>
    <cacheField name="[Clients].[Region].[Region]" caption="Region" numFmtId="0" hierarchy="5" level="1">
      <sharedItems containsSemiMixedTypes="0" containsNonDate="0" containsString="0"/>
    </cacheField>
  </cacheFields>
  <cacheHierarchies count="36">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0" memberValueDatatype="130" unbalanced="0"/>
    <cacheHierarchy uniqueName="[Clients].[Client_ID]" caption="Client_ID" attribute="1" defaultMemberUniqueName="[Clients].[Client_ID].[All]" allUniqueName="[Clients].[Client_ID].[All]" dimensionUniqueName="[Clients]" displayFolder="" count="0" memberValueDatatype="130" unbalanced="0"/>
    <cacheHierarchy uniqueName="[Clients].[Store_Name]" caption="Store_Name" attribute="1" defaultMemberUniqueName="[Clients].[Store_Name].[All]" allUniqueName="[Clients].[Store_Name].[All]" dimensionUniqueName="[Clients]" displayFolder="" count="0" memberValueDatatype="130" unbalanced="0"/>
    <cacheHierarchy uniqueName="[Clients].[City]" caption="City" attribute="1" defaultMemberUniqueName="[Clients].[City].[All]" allUniqueName="[Clients].[City].[All]" dimensionUniqueName="[Clients]" displayFolder="" count="0" memberValueDatatype="130" unbalanced="0"/>
    <cacheHierarchy uniqueName="[Clients].[Region]" caption="Region" attribute="1" defaultMemberUniqueName="[Clients].[Region].[All]" allUniqueName="[Clients].[Region].[All]" dimensionUniqueName="[Clients]" displayFolder="" count="2" memberValueDatatype="130" unbalanced="0">
      <fieldsUsage count="2">
        <fieldUsage x="-1"/>
        <fieldUsage x="3"/>
      </fieldsUsage>
    </cacheHierarchy>
    <cacheHierarchy uniqueName="[Clients].[Store_Type]" caption="Store_Type" attribute="1" defaultMemberUniqueName="[Clients].[Store_Type].[All]" allUniqueName="[Clients].[Store_Type].[All]" dimensionUniqueName="[Clients]" displayFolder="" count="0" memberValueDatatype="130" unbalanced="0"/>
    <cacheHierarchy uniqueName="[Feedback].[Transaction_ID]" caption="Transaction_ID" attribute="1" defaultMemberUniqueName="[Feedback].[Transaction_ID].[All]" allUniqueName="[Feedback].[Transaction_ID].[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20" unbalanced="0"/>
    <cacheHierarchy uniqueName="[Feedback].[Feedback_Comment]" caption="Feedback_Comment" attribute="1" defaultMemberUniqueName="[Feedback].[Feedback_Comment].[All]" allUniqueName="[Feedback].[Feedback_Comment].[All]" dimensionUniqueName="[Feedback]"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Sales].[Order_Date]" caption="Order_Date" attribute="1" time="1" defaultMemberUniqueName="[Sales].[Order_Date].[All]" allUniqueName="[Sales].[Order_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Payment_Status]" caption="Payment_Status" attribute="1" defaultMemberUniqueName="[Sales].[Payment_Status].[All]" allUniqueName="[Sales].[Payment_Status].[All]" dimensionUniqueName="[Sales]" displayFolder="" count="0" memberValueDatatype="130" unbalanced="0"/>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Sales].[Client_ID]" caption="Client_ID" attribute="1" defaultMemberUniqueName="[Sales].[Client_ID].[All]" allUniqueName="[Sales].[Client_ID].[All]" dimensionUniqueName="[Sales]" displayFolder="" count="0" memberValueDatatype="130" unbalanced="0" hidden="1"/>
    <cacheHierarchy uniqueName="[Sales].[Product_ID]" caption="Product_ID" attribute="1" defaultMemberUniqueName="[Sales].[Product_ID].[All]" allUniqueName="[Sales].[Product_ID].[All]" dimensionUniqueName="[Sales]" displayFolder="" count="0" memberValueDatatype="130" unbalanced="0" hidden="1"/>
    <cacheHierarchy uniqueName="[Sales].[Transaction_ID]" caption="Transaction_ID" attribute="1" defaultMemberUniqueName="[Sales].[Transaction_ID].[All]" allUniqueName="[Sales].[Transaction_ID].[All]" dimensionUniqueName="[Sales]" displayFolder="" count="0" memberValueDatatype="130" unbalanced="0" hidden="1"/>
    <cacheHierarchy uniqueName="[Measures].[Total Cost]" caption="Total Cost" measure="1" displayFolder="" measureGroup="Sales" count="0"/>
    <cacheHierarchy uniqueName="[Measures].[Gross Profit]" caption="Gross Profit" measure="1" displayFolder="" measureGroup="Sales" count="0" oneField="1">
      <fieldsUsage count="1">
        <fieldUsage x="1"/>
      </fieldsUsage>
    </cacheHierarchy>
    <cacheHierarchy uniqueName="[Measures].[Profit Margin %]" caption="Profit Margin %" measure="1" displayFolder="" measureGroup="Sales" count="0"/>
    <cacheHierarchy uniqueName="[Measures].[Total Units Sold]" caption="Total Units Sold" measure="1" displayFolder="" measureGroup="Sales" count="0"/>
    <cacheHierarchy uniqueName="[Measures].[AOV]" caption="AOV" measure="1" displayFolder="" measureGroup="Sales" count="0"/>
    <cacheHierarchy uniqueName="[Measures].[Avg Customer Rating]" caption="Avg Customer Rating" measure="1" displayFolder="" measureGroup="Feedback" count="0" oneField="1">
      <fieldsUsage count="1">
        <fieldUsage x="2"/>
      </fieldsUsage>
    </cacheHierarchy>
    <cacheHierarchy uniqueName="[Measures].[Total Revenue]" caption="Total Revenue" measure="1" displayFolder="" measureGroup="Sales" count="0" oneField="1">
      <fieldsUsage count="1">
        <fieldUsage x="0"/>
      </fieldsUsage>
    </cacheHierarchy>
    <cacheHierarchy uniqueName="[Measures].[__XL_Count Clients]" caption="__XL_Count Clients" measure="1" displayFolder="" measureGroup="Client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Feedback]" caption="__XL_Count Feedback" measure="1" displayFolder="" measureGroup="Feedb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lients" uniqueName="[Clients]" caption="Clients"/>
    <dimension name="Feedback" uniqueName="[Feedback]" caption="Feedback"/>
    <dimension measure="1" name="Measures" uniqueName="[Measures]" caption="Measures"/>
    <dimension name="Products" uniqueName="[Products]" caption="Products"/>
    <dimension name="Sales" uniqueName="[Sales]" caption="Sales"/>
  </dimensions>
  <measureGroups count="5">
    <measureGroup name="Calendar" caption="Calendar"/>
    <measureGroup name="Clients" caption="Clients"/>
    <measureGroup name="Feedback" caption="Feedback"/>
    <measureGroup name="Products" caption="Products"/>
    <measureGroup name="Sales" caption="Sales"/>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Syrek" refreshedDate="46114.40723449074" backgroundQuery="1" createdVersion="8" refreshedVersion="8" minRefreshableVersion="3" recordCount="0" supportSubquery="1" supportAdvancedDrill="1" xr:uid="{DA5973AA-25AB-4CCA-9D42-CACF6E234C80}">
  <cacheSource type="external" connectionId="6"/>
  <cacheFields count="4">
    <cacheField name="[Calendar].[Calendar].[Calendar]" caption="Calendar" numFmtId="0" level="1">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Calendar].[Calendar (Month)].[Calendar (Month)]" caption="Calendar (Month)" numFmtId="0" hierarchy="1" level="1">
      <sharedItems count="7">
        <s v="Jan"/>
        <s v="Feb"/>
        <s v="Mar"/>
        <s v="Apr"/>
        <s v="May"/>
        <s v="Jun"/>
        <s v="Jul"/>
      </sharedItems>
    </cacheField>
    <cacheField name="[Measures].[Total Revenue]" caption="Total Revenue" numFmtId="0" hierarchy="29" level="32767"/>
    <cacheField name="[Clients].[Region].[Region]" caption="Region" numFmtId="0" hierarchy="5" level="1">
      <sharedItems containsSemiMixedTypes="0" containsNonDate="0" containsString="0"/>
    </cacheField>
  </cacheFields>
  <cacheHierarchies count="36">
    <cacheHierarchy uniqueName="[Calendar].[Calendar]" caption="Calendar" attribute="1" time="1" defaultMemberUniqueName="[Calendar].[Calendar].[All]" allUniqueName="[Calendar].[Calendar].[All]" dimensionUniqueName="[Calendar]" displayFolder="" count="2" memberValueDatatype="7" unbalanced="0">
      <fieldsUsage count="2">
        <fieldUsage x="-1"/>
        <fieldUsage x="0"/>
      </fieldsUsage>
    </cacheHierarchy>
    <cacheHierarchy uniqueName="[Calendar].[Calendar (Month)]" caption="Calendar (Month)" attribute="1" defaultMemberUniqueName="[Calendar].[Calendar (Month)].[All]" allUniqueName="[Calendar].[Calendar (Month)].[All]" dimensionUniqueName="[Calendar]" displayFolder="" count="2" memberValueDatatype="130" unbalanced="0">
      <fieldsUsage count="2">
        <fieldUsage x="-1"/>
        <fieldUsage x="1"/>
      </fieldsUsage>
    </cacheHierarchy>
    <cacheHierarchy uniqueName="[Clients].[Client_ID]" caption="Client_ID" attribute="1" defaultMemberUniqueName="[Clients].[Client_ID].[All]" allUniqueName="[Clients].[Client_ID].[All]" dimensionUniqueName="[Clients]" displayFolder="" count="0" memberValueDatatype="130" unbalanced="0"/>
    <cacheHierarchy uniqueName="[Clients].[Store_Name]" caption="Store_Name" attribute="1" defaultMemberUniqueName="[Clients].[Store_Name].[All]" allUniqueName="[Clients].[Store_Name].[All]" dimensionUniqueName="[Clients]" displayFolder="" count="0" memberValueDatatype="130" unbalanced="0"/>
    <cacheHierarchy uniqueName="[Clients].[City]" caption="City" attribute="1" defaultMemberUniqueName="[Clients].[City].[All]" allUniqueName="[Clients].[City].[All]" dimensionUniqueName="[Clients]" displayFolder="" count="0" memberValueDatatype="130" unbalanced="0"/>
    <cacheHierarchy uniqueName="[Clients].[Region]" caption="Region" attribute="1" defaultMemberUniqueName="[Clients].[Region].[All]" allUniqueName="[Clients].[Region].[All]" dimensionUniqueName="[Clients]" displayFolder="" count="2" memberValueDatatype="130" unbalanced="0">
      <fieldsUsage count="2">
        <fieldUsage x="-1"/>
        <fieldUsage x="3"/>
      </fieldsUsage>
    </cacheHierarchy>
    <cacheHierarchy uniqueName="[Clients].[Store_Type]" caption="Store_Type" attribute="1" defaultMemberUniqueName="[Clients].[Store_Type].[All]" allUniqueName="[Clients].[Store_Type].[All]" dimensionUniqueName="[Clients]" displayFolder="" count="0" memberValueDatatype="130" unbalanced="0"/>
    <cacheHierarchy uniqueName="[Feedback].[Transaction_ID]" caption="Transaction_ID" attribute="1" defaultMemberUniqueName="[Feedback].[Transaction_ID].[All]" allUniqueName="[Feedback].[Transaction_ID].[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20" unbalanced="0"/>
    <cacheHierarchy uniqueName="[Feedback].[Feedback_Comment]" caption="Feedback_Comment" attribute="1" defaultMemberUniqueName="[Feedback].[Feedback_Comment].[All]" allUniqueName="[Feedback].[Feedback_Comment].[All]" dimensionUniqueName="[Feedback]"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Sales].[Order_Date]" caption="Order_Date" attribute="1" time="1" defaultMemberUniqueName="[Sales].[Order_Date].[All]" allUniqueName="[Sales].[Order_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Payment_Status]" caption="Payment_Status" attribute="1" defaultMemberUniqueName="[Sales].[Payment_Status].[All]" allUniqueName="[Sales].[Payment_Status].[All]" dimensionUniqueName="[Sales]" displayFolder="" count="0" memberValueDatatype="130" unbalanced="0"/>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Sales].[Client_ID]" caption="Client_ID" attribute="1" defaultMemberUniqueName="[Sales].[Client_ID].[All]" allUniqueName="[Sales].[Client_ID].[All]" dimensionUniqueName="[Sales]" displayFolder="" count="0" memberValueDatatype="130" unbalanced="0" hidden="1"/>
    <cacheHierarchy uniqueName="[Sales].[Product_ID]" caption="Product_ID" attribute="1" defaultMemberUniqueName="[Sales].[Product_ID].[All]" allUniqueName="[Sales].[Product_ID].[All]" dimensionUniqueName="[Sales]" displayFolder="" count="0" memberValueDatatype="130" unbalanced="0" hidden="1"/>
    <cacheHierarchy uniqueName="[Sales].[Transaction_ID]" caption="Transaction_ID" attribute="1" defaultMemberUniqueName="[Sales].[Transaction_ID].[All]" allUniqueName="[Sales].[Transaction_ID].[All]" dimensionUniqueName="[Sales]" displayFolder="" count="0" memberValueDatatype="130" unbalanced="0" hidden="1"/>
    <cacheHierarchy uniqueName="[Measures].[Total Cost]" caption="Total Cost" measure="1" displayFolder="" measureGroup="Sales" count="0"/>
    <cacheHierarchy uniqueName="[Measures].[Gross Profit]" caption="Gross Profit" measure="1" displayFolder="" measureGroup="Sales" count="0"/>
    <cacheHierarchy uniqueName="[Measures].[Profit Margin %]" caption="Profit Margin %" measure="1" displayFolder="" measureGroup="Sales" count="0"/>
    <cacheHierarchy uniqueName="[Measures].[Total Units Sold]" caption="Total Units Sold" measure="1" displayFolder="" measureGroup="Sales" count="0"/>
    <cacheHierarchy uniqueName="[Measures].[AOV]" caption="AOV" measure="1" displayFolder="" measureGroup="Sales" count="0"/>
    <cacheHierarchy uniqueName="[Measures].[Avg Customer Rating]" caption="Avg Customer Rating" measure="1" displayFolder="" measureGroup="Feedback" count="0"/>
    <cacheHierarchy uniqueName="[Measures].[Total Revenue]" caption="Total Revenue" measure="1" displayFolder="" measureGroup="Sales" count="0" oneField="1">
      <fieldsUsage count="1">
        <fieldUsage x="2"/>
      </fieldsUsage>
    </cacheHierarchy>
    <cacheHierarchy uniqueName="[Measures].[__XL_Count Clients]" caption="__XL_Count Clients" measure="1" displayFolder="" measureGroup="Client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Feedback]" caption="__XL_Count Feedback" measure="1" displayFolder="" measureGroup="Feedb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lients" uniqueName="[Clients]" caption="Clients"/>
    <dimension name="Feedback" uniqueName="[Feedback]" caption="Feedback"/>
    <dimension measure="1" name="Measures" uniqueName="[Measures]" caption="Measures"/>
    <dimension name="Products" uniqueName="[Products]" caption="Products"/>
    <dimension name="Sales" uniqueName="[Sales]" caption="Sales"/>
  </dimensions>
  <measureGroups count="5">
    <measureGroup name="Calendar" caption="Calendar"/>
    <measureGroup name="Clients" caption="Clients"/>
    <measureGroup name="Feedback" caption="Feedback"/>
    <measureGroup name="Products" caption="Products"/>
    <measureGroup name="Sales" caption="Sales"/>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Syrek" refreshedDate="46114.379886689814" backgroundQuery="1" createdVersion="3" refreshedVersion="8" minRefreshableVersion="3" recordCount="0" supportSubquery="1" supportAdvancedDrill="1" xr:uid="{E2AFF81A-B154-4012-8581-FC0EFA3E0369}">
  <cacheSource type="external" connectionId="6">
    <extLst>
      <ext xmlns:x14="http://schemas.microsoft.com/office/spreadsheetml/2009/9/main" uri="{F057638F-6D5F-4e77-A914-E7F072B9BCA8}">
        <x14:sourceConnection name="ThisWorkbookDataModel"/>
      </ext>
    </extLst>
  </cacheSource>
  <cacheFields count="0"/>
  <cacheHierarchies count="36">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0" memberValueDatatype="130" unbalanced="0"/>
    <cacheHierarchy uniqueName="[Clients].[Client_ID]" caption="Client_ID" attribute="1" defaultMemberUniqueName="[Clients].[Client_ID].[All]" allUniqueName="[Clients].[Client_ID].[All]" dimensionUniqueName="[Clients]" displayFolder="" count="0" memberValueDatatype="130" unbalanced="0"/>
    <cacheHierarchy uniqueName="[Clients].[Store_Name]" caption="Store_Name" attribute="1" defaultMemberUniqueName="[Clients].[Store_Name].[All]" allUniqueName="[Clients].[Store_Name].[All]" dimensionUniqueName="[Clients]" displayFolder="" count="0" memberValueDatatype="130" unbalanced="0"/>
    <cacheHierarchy uniqueName="[Clients].[City]" caption="City" attribute="1" defaultMemberUniqueName="[Clients].[City].[All]" allUniqueName="[Clients].[City].[All]" dimensionUniqueName="[Clients]" displayFolder="" count="0" memberValueDatatype="130" unbalanced="0"/>
    <cacheHierarchy uniqueName="[Clients].[Region]" caption="Region" attribute="1" defaultMemberUniqueName="[Clients].[Region].[All]" allUniqueName="[Clients].[Region].[All]" dimensionUniqueName="[Clients]" displayFolder="" count="2" memberValueDatatype="130" unbalanced="0"/>
    <cacheHierarchy uniqueName="[Clients].[Store_Type]" caption="Store_Type" attribute="1" defaultMemberUniqueName="[Clients].[Store_Type].[All]" allUniqueName="[Clients].[Store_Type].[All]" dimensionUniqueName="[Clients]" displayFolder="" count="0" memberValueDatatype="130" unbalanced="0"/>
    <cacheHierarchy uniqueName="[Feedback].[Transaction_ID]" caption="Transaction_ID" attribute="1" defaultMemberUniqueName="[Feedback].[Transaction_ID].[All]" allUniqueName="[Feedback].[Transaction_ID].[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20" unbalanced="0"/>
    <cacheHierarchy uniqueName="[Feedback].[Feedback_Comment]" caption="Feedback_Comment" attribute="1" defaultMemberUniqueName="[Feedback].[Feedback_Comment].[All]" allUniqueName="[Feedback].[Feedback_Comment].[All]" dimensionUniqueName="[Feedback]"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Sales].[Order_Date]" caption="Order_Date" attribute="1" time="1" defaultMemberUniqueName="[Sales].[Order_Date].[All]" allUniqueName="[Sales].[Order_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Payment_Status]" caption="Payment_Status" attribute="1" defaultMemberUniqueName="[Sales].[Payment_Status].[All]" allUniqueName="[Sales].[Payment_Status].[All]" dimensionUniqueName="[Sales]" displayFolder="" count="0" memberValueDatatype="130" unbalanced="0"/>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Sales].[Client_ID]" caption="Client_ID" attribute="1" defaultMemberUniqueName="[Sales].[Client_ID].[All]" allUniqueName="[Sales].[Client_ID].[All]" dimensionUniqueName="[Sales]" displayFolder="" count="0" memberValueDatatype="130" unbalanced="0" hidden="1"/>
    <cacheHierarchy uniqueName="[Sales].[Product_ID]" caption="Product_ID" attribute="1" defaultMemberUniqueName="[Sales].[Product_ID].[All]" allUniqueName="[Sales].[Product_ID].[All]" dimensionUniqueName="[Sales]" displayFolder="" count="0" memberValueDatatype="130" unbalanced="0" hidden="1"/>
    <cacheHierarchy uniqueName="[Sales].[Transaction_ID]" caption="Transaction_ID" attribute="1" defaultMemberUniqueName="[Sales].[Transaction_ID].[All]" allUniqueName="[Sales].[Transaction_ID].[All]" dimensionUniqueName="[Sales]" displayFolder="" count="0" memberValueDatatype="130" unbalanced="0" hidden="1"/>
    <cacheHierarchy uniqueName="[Measures].[Total Cost]" caption="Total Cost" measure="1" displayFolder="" measureGroup="Sales" count="0"/>
    <cacheHierarchy uniqueName="[Measures].[Gross Profit]" caption="Gross Profit" measure="1" displayFolder="" measureGroup="Sales" count="0"/>
    <cacheHierarchy uniqueName="[Measures].[Profit Margin %]" caption="Profit Margin %" measure="1" displayFolder="" measureGroup="Sales" count="0"/>
    <cacheHierarchy uniqueName="[Measures].[Total Units Sold]" caption="Total Units Sold" measure="1" displayFolder="" measureGroup="Sales" count="0"/>
    <cacheHierarchy uniqueName="[Measures].[AOV]" caption="AOV" measure="1" displayFolder="" measureGroup="Sales" count="0"/>
    <cacheHierarchy uniqueName="[Measures].[Avg Customer Rating]" caption="Avg Customer Rating" measure="1" displayFolder="" measureGroup="Feedback" count="0"/>
    <cacheHierarchy uniqueName="[Measures].[Total Revenue]" caption="Total Revenue" measure="1" displayFolder="" measureGroup="Sales" count="0"/>
    <cacheHierarchy uniqueName="[Measures].[__XL_Count Clients]" caption="__XL_Count Clients" measure="1" displayFolder="" measureGroup="Client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Feedback]" caption="__XL_Count Feedback" measure="1" displayFolder="" measureGroup="Feedb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352189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55E3B5-0516-431F-85FA-7EF300666D65}" name="PivotTable2" cacheId="660" applyNumberFormats="0" applyBorderFormats="0" applyFontFormats="0" applyPatternFormats="0" applyAlignmentFormats="0" applyWidthHeightFormats="1" dataCaption="Values" tag="45b9e8bd-2814-432c-a8d1-755216127beb" updatedVersion="8" minRefreshableVersion="3" useAutoFormatting="1" subtotalHiddenItems="1" itemPrintTitles="1" createdVersion="8" indent="0" outline="1" outlineData="1" multipleFieldFilters="0" chartFormat="10">
  <location ref="A10:B18" firstHeaderRow="1" firstDataRow="1" firstDataCol="1"/>
  <pivotFields count="4">
    <pivotField axis="axisRow" allDrilled="1" subtotalTop="0" showAll="0" dataSourceSort="1" defaultSubtotal="0" defaultAttributeDrillState="1">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axis="axisRow" allDrilled="1" subtotalTop="0" showAll="0" dataSourceSort="1" defaultSubtotal="0">
      <items count="7">
        <item x="0" e="0"/>
        <item x="1" e="0"/>
        <item x="2" e="0"/>
        <item x="3" e="0"/>
        <item x="4" e="0"/>
        <item x="5" e="0"/>
        <item x="6" e="0"/>
      </items>
    </pivotField>
    <pivotField dataField="1" subtotalTop="0" showAll="0" defaultSubtotal="0"/>
    <pivotField allDrilled="1" subtotalTop="0" showAll="0" dataSourceSort="1" defaultSubtotal="0" defaultAttributeDrillState="1"/>
  </pivotFields>
  <rowFields count="2">
    <field x="1"/>
    <field x="0"/>
  </rowFields>
  <rowItems count="8">
    <i>
      <x/>
    </i>
    <i>
      <x v="1"/>
    </i>
    <i>
      <x v="2"/>
    </i>
    <i>
      <x v="3"/>
    </i>
    <i>
      <x v="4"/>
    </i>
    <i>
      <x v="5"/>
    </i>
    <i>
      <x v="6"/>
    </i>
    <i t="grand">
      <x/>
    </i>
  </rowItems>
  <colItems count="1">
    <i/>
  </colItems>
  <dataFields count="1">
    <dataField fld="2"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x15:activeTabTopLevelEntity name="[Cl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5D49F1-E87D-416D-B779-F29C57E9A3E7}" name="PivotTable1" cacheId="657" applyNumberFormats="0" applyBorderFormats="0" applyFontFormats="0" applyPatternFormats="0" applyAlignmentFormats="0" applyWidthHeightFormats="1" dataCaption="Values" missingCaption="0" tag="7524d66f-d8d0-40a3-a9ad-fd487b146d6a" updatedVersion="8" minRefreshableVersion="3" useAutoFormatting="1" subtotalHiddenItems="1" itemPrintTitles="1" createdVersion="8"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numFmtId="169"/>
    <dataField fld="1" subtotal="count" baseField="0" baseItem="0" numFmtId="169"/>
    <dataField fld="2" subtotal="count" baseField="0" baseItem="0"/>
  </dataFields>
  <formats count="2">
    <format dxfId="10">
      <pivotArea outline="0" collapsedLevelsAreSubtotals="1" fieldPosition="0">
        <references count="1">
          <reference field="4294967294" count="1" selected="0">
            <x v="0"/>
          </reference>
        </references>
      </pivotArea>
    </format>
    <format dxfId="11">
      <pivotArea outline="0" collapsedLevelsAreSubtotals="1" fieldPosition="0">
        <references count="1">
          <reference field="4294967294" count="1" selected="0">
            <x v="1"/>
          </reference>
        </references>
      </pivotArea>
    </format>
  </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ales]"/>
        <x15:activeTabTopLevelEntity name="[Feedback]"/>
        <x15:activeTabTopLevelEntity name="[Cl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80156E-5BA9-4934-A922-4B5DF5AEB43B}" name="PivotTable3" cacheId="654" applyNumberFormats="0" applyBorderFormats="0" applyFontFormats="0" applyPatternFormats="0" applyAlignmentFormats="0" applyWidthHeightFormats="1" dataCaption="Values" tag="36bbd165-8c29-4642-af70-78909782183c" updatedVersion="8" minRefreshableVersion="3" useAutoFormatting="1" subtotalHiddenItems="1" itemPrintTitles="1" createdVersion="8" indent="0" outline="1" outlineData="1" multipleFieldFilters="0" chartFormat="15">
  <location ref="E10:F16"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9">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lien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57040CE-D942-4C66-89CD-B2B96843ABC0}" sourceName="[Clients].[Region]">
  <pivotTables>
    <pivotTable tabId="2" name="PivotTable3"/>
    <pivotTable tabId="2" name="PivotTable1"/>
    <pivotTable tabId="2" name="PivotTable2"/>
  </pivotTables>
  <data>
    <olap pivotCacheId="2135218962">
      <levels count="2">
        <level uniqueName="[Clients].[Region].[(All)]" sourceCaption="(All)" count="0"/>
        <level uniqueName="[Clients].[Region].[Region]" sourceCaption="Region" count="11">
          <ranges>
            <range startItem="0">
              <i n="[Clients].[Region].&amp;[East Midlands]" c="East Midlands"/>
              <i n="[Clients].[Region].&amp;[Greater London]" c="Greater London"/>
              <i n="[Clients].[Region].&amp;[N. Ireland]" c="N. Ireland"/>
              <i n="[Clients].[Region].&amp;[North East]" c="North East"/>
              <i n="[Clients].[Region].&amp;[North West]" c="North West"/>
              <i n="[Clients].[Region].&amp;[Scotland]" c="Scotland"/>
              <i n="[Clients].[Region].&amp;[South East]" c="South East"/>
              <i n="[Clients].[Region].&amp;[South West]" c="South West"/>
              <i n="[Clients].[Region].&amp;[Wales]" c="Wales"/>
              <i n="[Clients].[Region].&amp;[West Midlands]" c="West Midlands"/>
              <i n="[Clients].[Region].&amp;[Yorkshire]" c="Yorkshire"/>
            </range>
          </ranges>
        </level>
      </levels>
      <selections count="1">
        <selection n="[Client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E69606D-7350-46E8-B7F7-1CE453E50F80}" cache="Slicer_Region" caption="Region" level="1" rowHeight="241300"/>
</slicers>
</file>

<file path=xl/theme/theme1.xml><?xml version="1.0" encoding="utf-8"?>
<a:theme xmlns:a="http://schemas.openxmlformats.org/drawingml/2006/main" name="Frame">
  <a:themeElements>
    <a:clrScheme name="Frame">
      <a:dk1>
        <a:srgbClr val="000000"/>
      </a:dk1>
      <a:lt1>
        <a:srgbClr val="FFFFFF"/>
      </a:lt1>
      <a:dk2>
        <a:srgbClr val="545454"/>
      </a:dk2>
      <a:lt2>
        <a:srgbClr val="BFBFBF"/>
      </a:lt2>
      <a:accent1>
        <a:srgbClr val="40BAD2"/>
      </a:accent1>
      <a:accent2>
        <a:srgbClr val="FAB900"/>
      </a:accent2>
      <a:accent3>
        <a:srgbClr val="90BB23"/>
      </a:accent3>
      <a:accent4>
        <a:srgbClr val="EE7008"/>
      </a:accent4>
      <a:accent5>
        <a:srgbClr val="1AB39F"/>
      </a:accent5>
      <a:accent6>
        <a:srgbClr val="D5393D"/>
      </a:accent6>
      <a:hlink>
        <a:srgbClr val="90BB23"/>
      </a:hlink>
      <a:folHlink>
        <a:srgbClr val="EE7008"/>
      </a:folHlink>
    </a:clrScheme>
    <a:fontScheme name="Frame">
      <a:maj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Riblet">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7145" cap="flat" cmpd="sng" algn="ctr">
          <a:solidFill>
            <a:schemeClr val="phClr"/>
          </a:solidFill>
          <a:prstDash val="solid"/>
        </a:ln>
        <a:ln w="58420" cap="flat" cmpd="thickThin" algn="ctr">
          <a:solidFill>
            <a:schemeClr val="phClr">
              <a:shade val="95000"/>
              <a:alpha val="50000"/>
              <a:satMod val="150000"/>
            </a:schemeClr>
          </a:solidFill>
          <a:prstDash val="solid"/>
        </a:ln>
      </a:lnStyleLst>
      <a:effectStyleLst>
        <a:effectStyle>
          <a:effectLst/>
        </a:effectStyle>
        <a:effectStyle>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a:effectStyle>
        <a:effectStyle>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20000"/>
                <a:lumMod val="102000"/>
              </a:schemeClr>
            </a:gs>
            <a:gs pos="48000">
              <a:schemeClr val="phClr">
                <a:tint val="98000"/>
                <a:shade val="90000"/>
                <a:satMod val="110000"/>
                <a:lumMod val="103000"/>
              </a:schemeClr>
            </a:gs>
            <a:gs pos="100000">
              <a:schemeClr val="phClr">
                <a:tint val="98000"/>
                <a:shade val="8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Frame" id="{F226E7A2-7162-461C-9490-D27D9DC04E43}" vid="{629A0216-3BBD-45C0-B63F-2683BEA18F60}"/>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4"/>
  <sheetViews>
    <sheetView showGridLines="0" tabSelected="1" workbookViewId="0">
      <selection activeCell="L31" sqref="L31"/>
    </sheetView>
  </sheetViews>
  <sheetFormatPr defaultRowHeight="14.5" x14ac:dyDescent="0.35"/>
  <cols>
    <col min="2" max="2" width="13.4140625" customWidth="1"/>
    <col min="6" max="6" width="6.58203125" customWidth="1"/>
  </cols>
  <sheetData>
    <row r="1" spans="2:10" ht="33.5" x14ac:dyDescent="0.75">
      <c r="B1" s="1" t="s">
        <v>0</v>
      </c>
      <c r="C1" s="1"/>
      <c r="D1" s="1"/>
      <c r="E1" s="1"/>
    </row>
    <row r="3" spans="2:10" ht="21" x14ac:dyDescent="0.5">
      <c r="B3" s="8" t="s">
        <v>18</v>
      </c>
      <c r="C3" s="9"/>
      <c r="D3" s="8" t="s">
        <v>19</v>
      </c>
      <c r="E3" s="8"/>
      <c r="F3" s="9"/>
      <c r="G3" s="8" t="s">
        <v>20</v>
      </c>
      <c r="H3" s="8"/>
      <c r="I3" s="7"/>
      <c r="J3" s="7"/>
    </row>
    <row r="4" spans="2:10" ht="28.5" x14ac:dyDescent="0.65">
      <c r="B4" s="6"/>
      <c r="E4" s="6"/>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C2271-267A-4B36-AB98-5F4DAB9CD4E2}">
  <dimension ref="A1:G18"/>
  <sheetViews>
    <sheetView workbookViewId="0">
      <selection activeCell="G2" sqref="G2"/>
    </sheetView>
  </sheetViews>
  <sheetFormatPr defaultRowHeight="14.5" x14ac:dyDescent="0.35"/>
  <cols>
    <col min="1" max="1" width="11.83203125" bestFit="1" customWidth="1"/>
    <col min="2" max="2" width="12.1640625" bestFit="1" customWidth="1"/>
    <col min="3" max="3" width="17.6640625" bestFit="1" customWidth="1"/>
    <col min="5" max="5" width="14.83203125" bestFit="1" customWidth="1"/>
    <col min="6" max="6" width="12.1640625" bestFit="1" customWidth="1"/>
  </cols>
  <sheetData>
    <row r="1" spans="1:7" x14ac:dyDescent="0.35">
      <c r="A1" t="s">
        <v>1</v>
      </c>
      <c r="B1" t="s">
        <v>2</v>
      </c>
      <c r="C1" t="s">
        <v>3</v>
      </c>
    </row>
    <row r="2" spans="1:7" x14ac:dyDescent="0.35">
      <c r="A2" s="11">
        <v>257232</v>
      </c>
      <c r="B2" s="11">
        <v>73879</v>
      </c>
      <c r="C2" s="10">
        <v>3.7333333333333334</v>
      </c>
      <c r="E2" s="11">
        <f>GETPIVOTDATA("[Measures].[Total Revenue]",$A$1)</f>
        <v>257232</v>
      </c>
      <c r="F2" s="11">
        <f>GETPIVOTDATA("[Measures].[Gross Profit]",$A$1)</f>
        <v>73879</v>
      </c>
      <c r="G2" s="3">
        <f>GETPIVOTDATA("[Measures].[Avg Customer Rating]",$A$1)</f>
        <v>3.7333333333333334</v>
      </c>
    </row>
    <row r="10" spans="1:7" x14ac:dyDescent="0.35">
      <c r="A10" s="4" t="s">
        <v>4</v>
      </c>
      <c r="B10" t="s">
        <v>1</v>
      </c>
      <c r="E10" s="4" t="s">
        <v>4</v>
      </c>
      <c r="F10" t="s">
        <v>1</v>
      </c>
    </row>
    <row r="11" spans="1:7" x14ac:dyDescent="0.35">
      <c r="A11" s="5" t="s">
        <v>6</v>
      </c>
      <c r="B11" s="2">
        <v>37827</v>
      </c>
      <c r="E11" s="5" t="s">
        <v>13</v>
      </c>
      <c r="F11" s="2">
        <v>15181</v>
      </c>
    </row>
    <row r="12" spans="1:7" x14ac:dyDescent="0.35">
      <c r="A12" s="5" t="s">
        <v>7</v>
      </c>
      <c r="B12" s="2">
        <v>34724</v>
      </c>
      <c r="E12" s="5" t="s">
        <v>14</v>
      </c>
      <c r="F12" s="2">
        <v>25254</v>
      </c>
    </row>
    <row r="13" spans="1:7" x14ac:dyDescent="0.35">
      <c r="A13" s="5" t="s">
        <v>8</v>
      </c>
      <c r="B13" s="2">
        <v>39709</v>
      </c>
      <c r="E13" s="5" t="s">
        <v>15</v>
      </c>
      <c r="F13" s="2">
        <v>13592</v>
      </c>
    </row>
    <row r="14" spans="1:7" x14ac:dyDescent="0.35">
      <c r="A14" s="5" t="s">
        <v>9</v>
      </c>
      <c r="B14" s="2">
        <v>37430</v>
      </c>
      <c r="E14" s="5" t="s">
        <v>16</v>
      </c>
      <c r="F14" s="2">
        <v>24674</v>
      </c>
    </row>
    <row r="15" spans="1:7" x14ac:dyDescent="0.35">
      <c r="A15" s="5" t="s">
        <v>10</v>
      </c>
      <c r="B15" s="2">
        <v>41877</v>
      </c>
      <c r="E15" s="5" t="s">
        <v>17</v>
      </c>
      <c r="F15" s="2">
        <v>15807</v>
      </c>
    </row>
    <row r="16" spans="1:7" x14ac:dyDescent="0.35">
      <c r="A16" s="5" t="s">
        <v>11</v>
      </c>
      <c r="B16" s="2">
        <v>33338</v>
      </c>
      <c r="E16" s="5" t="s">
        <v>5</v>
      </c>
      <c r="F16" s="2">
        <v>94508</v>
      </c>
    </row>
    <row r="17" spans="1:2" x14ac:dyDescent="0.35">
      <c r="A17" s="5" t="s">
        <v>12</v>
      </c>
      <c r="B17" s="2">
        <v>32327</v>
      </c>
    </row>
    <row r="18" spans="1:2" x14ac:dyDescent="0.35">
      <c r="A18" s="5" t="s">
        <v>5</v>
      </c>
      <c r="B18" s="2">
        <v>257232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05256BFF-E9C0-459D-A998-7328D86E18A9}">
  <ds:schemaRefs/>
</ds:datastoreItem>
</file>

<file path=customXml/itemProps2.xml><?xml version="1.0" encoding="utf-8"?>
<ds:datastoreItem xmlns:ds="http://schemas.openxmlformats.org/officeDocument/2006/customXml" ds:itemID="{AA90725D-40B2-46A6-99FE-116D1F38EDA2}">
  <ds:schemaRefs/>
</ds:datastoreItem>
</file>

<file path=customXml/itemProps3.xml><?xml version="1.0" encoding="utf-8"?>
<ds:datastoreItem xmlns:ds="http://schemas.openxmlformats.org/officeDocument/2006/customXml" ds:itemID="{593B3EE1-8800-4B1C-A0AF-57FA1D28B3AA}">
  <ds:schemaRefs/>
</ds:datastoreItem>
</file>

<file path=customXml/itemProps4.xml><?xml version="1.0" encoding="utf-8"?>
<ds:datastoreItem xmlns:ds="http://schemas.openxmlformats.org/officeDocument/2006/customXml" ds:itemID="{1E2A68C1-D35D-42AD-99F7-B63ADEE3D016}">
  <ds:schemaRefs/>
</ds:datastoreItem>
</file>

<file path=customXml/itemProps5.xml><?xml version="1.0" encoding="utf-8"?>
<ds:datastoreItem xmlns:ds="http://schemas.openxmlformats.org/officeDocument/2006/customXml" ds:itemID="{487338AA-25B3-484A-93E4-0C7024C510D1}">
  <ds:schemaRefs/>
</ds:datastoreItem>
</file>

<file path=customXml/itemProps6.xml><?xml version="1.0" encoding="utf-8"?>
<ds:datastoreItem xmlns:ds="http://schemas.openxmlformats.org/officeDocument/2006/customXml" ds:itemID="{8998D87B-4828-4B1D-9377-CA6379ED8735}">
  <ds:schemaRefs/>
</ds:datastoreItem>
</file>

<file path=customXml/itemProps7.xml><?xml version="1.0" encoding="utf-8"?>
<ds:datastoreItem xmlns:ds="http://schemas.openxmlformats.org/officeDocument/2006/customXml" ds:itemID="{BBEF8A10-09F1-44C4-A379-01208591AAEE}">
  <ds:schemaRefs/>
</ds:datastoreItem>
</file>

<file path=customXml/itemProps8.xml><?xml version="1.0" encoding="utf-8"?>
<ds:datastoreItem xmlns:ds="http://schemas.openxmlformats.org/officeDocument/2006/customXml" ds:itemID="{87B4240B-5B0F-47B4-A76D-5BF07D9EC40C}">
  <ds:schemaRefs/>
</ds:datastoreItem>
</file>

<file path=customXml/itemProps9.xml><?xml version="1.0" encoding="utf-8"?>
<ds:datastoreItem xmlns:ds="http://schemas.openxmlformats.org/officeDocument/2006/customXml" ds:itemID="{7878701C-9C2F-453F-B8D0-7737A47469F5}">
  <ds:schemaRefs/>
</ds:datastoreItem>
</file>

<file path=customXml/itemProps10.xml><?xml version="1.0" encoding="utf-8"?>
<ds:datastoreItem xmlns:ds="http://schemas.openxmlformats.org/officeDocument/2006/customXml" ds:itemID="{401ADCF5-E06E-42ED-A65D-CFD6289A6F17}">
  <ds:schemaRefs/>
</ds:datastoreItem>
</file>

<file path=customXml/itemProps11.xml><?xml version="1.0" encoding="utf-8"?>
<ds:datastoreItem xmlns:ds="http://schemas.openxmlformats.org/officeDocument/2006/customXml" ds:itemID="{1F1E0498-172A-4C63-A1F5-BCDC97D872F3}">
  <ds:schemaRefs/>
</ds:datastoreItem>
</file>

<file path=customXml/itemProps12.xml><?xml version="1.0" encoding="utf-8"?>
<ds:datastoreItem xmlns:ds="http://schemas.openxmlformats.org/officeDocument/2006/customXml" ds:itemID="{1F5E3F9F-BBC7-4A08-9E04-925FAF310A12}">
  <ds:schemaRefs/>
</ds:datastoreItem>
</file>

<file path=customXml/itemProps13.xml><?xml version="1.0" encoding="utf-8"?>
<ds:datastoreItem xmlns:ds="http://schemas.openxmlformats.org/officeDocument/2006/customXml" ds:itemID="{4F186D4D-DC72-433C-A12B-D7F48AA3F873}">
  <ds:schemaRefs/>
</ds:datastoreItem>
</file>

<file path=customXml/itemProps14.xml><?xml version="1.0" encoding="utf-8"?>
<ds:datastoreItem xmlns:ds="http://schemas.openxmlformats.org/officeDocument/2006/customXml" ds:itemID="{32111AA2-5D4B-4ADA-A7F7-1F5BFF9EF5B2}">
  <ds:schemaRefs>
    <ds:schemaRef ds:uri="http://schemas.microsoft.com/DataMashup"/>
  </ds:schemaRefs>
</ds:datastoreItem>
</file>

<file path=customXml/itemProps15.xml><?xml version="1.0" encoding="utf-8"?>
<ds:datastoreItem xmlns:ds="http://schemas.openxmlformats.org/officeDocument/2006/customXml" ds:itemID="{736A86DC-A964-41F7-889F-EA92981BB4A7}">
  <ds:schemaRefs/>
</ds:datastoreItem>
</file>

<file path=customXml/itemProps16.xml><?xml version="1.0" encoding="utf-8"?>
<ds:datastoreItem xmlns:ds="http://schemas.openxmlformats.org/officeDocument/2006/customXml" ds:itemID="{CB3B4227-0E7F-4FA1-80DC-4CE58F97C0BB}">
  <ds:schemaRefs/>
</ds:datastoreItem>
</file>

<file path=customXml/itemProps17.xml><?xml version="1.0" encoding="utf-8"?>
<ds:datastoreItem xmlns:ds="http://schemas.openxmlformats.org/officeDocument/2006/customXml" ds:itemID="{77DAED4A-F6D9-48E6-BD7F-FA655E5F60DA}">
  <ds:schemaRefs/>
</ds:datastoreItem>
</file>

<file path=customXml/itemProps18.xml><?xml version="1.0" encoding="utf-8"?>
<ds:datastoreItem xmlns:ds="http://schemas.openxmlformats.org/officeDocument/2006/customXml" ds:itemID="{BEDDFA1E-03E0-4A52-95E5-A8598462D18E}">
  <ds:schemaRefs/>
</ds:datastoreItem>
</file>

<file path=customXml/itemProps19.xml><?xml version="1.0" encoding="utf-8"?>
<ds:datastoreItem xmlns:ds="http://schemas.openxmlformats.org/officeDocument/2006/customXml" ds:itemID="{8A8D10D0-A9F9-4A5F-8E8E-828FFC06E875}">
  <ds:schemaRefs/>
</ds:datastoreItem>
</file>

<file path=customXml/itemProps20.xml><?xml version="1.0" encoding="utf-8"?>
<ds:datastoreItem xmlns:ds="http://schemas.openxmlformats.org/officeDocument/2006/customXml" ds:itemID="{240D487D-07F2-4729-A966-F9DB807789B3}">
  <ds:schemaRefs/>
</ds:datastoreItem>
</file>

<file path=customXml/itemProps21.xml><?xml version="1.0" encoding="utf-8"?>
<ds:datastoreItem xmlns:ds="http://schemas.openxmlformats.org/officeDocument/2006/customXml" ds:itemID="{897E9945-FE8A-4BF4-AED0-303F337095A8}">
  <ds:schemaRefs/>
</ds:datastoreItem>
</file>

<file path=customXml/itemProps22.xml><?xml version="1.0" encoding="utf-8"?>
<ds:datastoreItem xmlns:ds="http://schemas.openxmlformats.org/officeDocument/2006/customXml" ds:itemID="{69DB62B6-DA2A-4C46-8C70-05339028355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Calculation_Sheet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Syrek</dc:creator>
  <cp:lastModifiedBy>David Syrek</cp:lastModifiedBy>
  <dcterms:created xsi:type="dcterms:W3CDTF">2015-06-05T18:17:20Z</dcterms:created>
  <dcterms:modified xsi:type="dcterms:W3CDTF">2026-04-02T08:48:00Z</dcterms:modified>
</cp:coreProperties>
</file>