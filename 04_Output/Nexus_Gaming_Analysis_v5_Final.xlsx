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ttps://d.docs.live.net/c1b8b0ebbab43d41/Data Aanyltics/Study/Nexus_Gaming_Analysis/04_Output/"/>
    </mc:Choice>
  </mc:AlternateContent>
  <xr:revisionPtr revIDLastSave="0" documentId="8_{BB545D5D-5D3C-48DC-AF61-072CA29E5AD6}" xr6:coauthVersionLast="47" xr6:coauthVersionMax="47" xr10:uidLastSave="{00000000-0000-0000-0000-000000000000}"/>
  <bookViews>
    <workbookView xWindow="-110" yWindow="-110" windowWidth="25820" windowHeight="15500" xr2:uid="{00000000-000D-0000-FFFF-FFFF00000000}"/>
  </bookViews>
  <sheets>
    <sheet name="Dashboard" sheetId="1" r:id="rId1"/>
    <sheet name="Calculation_Sheet" sheetId="2" state="hidden" r:id="rId2"/>
  </sheets>
  <definedNames>
    <definedName name="Slicer_Region">#N/A</definedName>
  </definedNames>
  <calcPr calcId="191029"/>
  <pivotCaches>
    <pivotCache cacheId="7" r:id="rId3"/>
    <pivotCache cacheId="10" r:id="rId4"/>
    <pivotCache cacheId="13" r:id="rId5"/>
    <pivotCache cacheId="16"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be646fd3-9bd9-444f-8bd0-80b876952d4c" name="Clients" connection="Query - Clients"/>
          <x15:modelTable id="Products_fd5d8677-ee29-406c-aeb2-350d3a6fa60d" name="Products" connection="Query - Products"/>
          <x15:modelTable id="Sales_f14040e0-dcbd-4fc7-a562-09b4388a7e1d" name="Sales" connection="Query - Sales"/>
          <x15:modelTable id="Feedback_1316c7af-a3ee-4969-b9a4-acd90de23f40" name="Feedback" connection="Query - Feedback"/>
          <x15:modelTable id="Calendar_b6918bb4-2a30-44f3-a277-847eb4b8999b" name="Calendar" connection="Query - Calendar"/>
        </x15:modelTables>
        <x15:modelRelationships>
          <x15:modelRelationship fromTable="Sales" fromColumn="Product_ID" toTable="Products" toColumn="Product_ID"/>
          <x15:modelRelationship fromTable="Sales" fromColumn="Client_ID" toTable="Clients" toColumn="Client_ID"/>
          <x15:modelRelationship fromTable="Sales" fromColumn="Order_Date" toTable="Calendar" toColumn="Calendar"/>
          <x15:modelRelationship fromTable="Sales" fromColumn="Transaction_ID" toTable="Feedback" toColumn="Transaction_ID"/>
        </x15:modelRelationships>
        <x15:extLst>
          <ext xmlns:x16="http://schemas.microsoft.com/office/spreadsheetml/2014/11/main" uri="{9835A34E-60A6-4A7C-AAB8-D5F71C897F49}">
            <x16:modelTimeGroupings>
              <x16:modelTimeGrouping tableName="Calendar" columnName="Calendar" columnId="Calendar">
                <x16:calculatedTimeColumn columnName="Calendar (Month Index)" columnId="Calendar (Month Index)" contentType="monthsindex" isSelected="1"/>
                <x16:calculatedTimeColumn columnName="Calendar (Month)" columnId="Calend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2" l="1"/>
  <c r="G2"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453EF-7248-459D-8743-01917D4B1DC6}" name="Query - Calendar" description="Connection to the 'Calendar' query in the workbook." type="100" refreshedVersion="8" minRefreshableVersion="5">
    <extLst>
      <ext xmlns:x15="http://schemas.microsoft.com/office/spreadsheetml/2010/11/main" uri="{DE250136-89BD-433C-8126-D09CA5730AF9}">
        <x15:connection id="140bd85e-a34a-4088-97bc-f59da5739ee4"/>
      </ext>
    </extLst>
  </connection>
  <connection id="2" xr16:uid="{D092DEF3-D835-40E7-9D61-7095883915DF}" name="Query - Clients" description="Connection to the 'Clients' query in the workbook." type="100" refreshedVersion="8" minRefreshableVersion="5">
    <extLst>
      <ext xmlns:x15="http://schemas.microsoft.com/office/spreadsheetml/2010/11/main" uri="{DE250136-89BD-433C-8126-D09CA5730AF9}">
        <x15:connection id="79705e2a-a644-4ff9-81fe-43bc5383c4a9"/>
      </ext>
    </extLst>
  </connection>
  <connection id="3" xr16:uid="{5668979D-E7BF-45CB-954E-460169057F73}" name="Query - Feedback" description="Connection to the 'Feedback' query in the workbook." type="100" refreshedVersion="8" minRefreshableVersion="5">
    <extLst>
      <ext xmlns:x15="http://schemas.microsoft.com/office/spreadsheetml/2010/11/main" uri="{DE250136-89BD-433C-8126-D09CA5730AF9}">
        <x15:connection id="2eabb503-1331-4777-b0f6-10fd7b1e1dec"/>
      </ext>
    </extLst>
  </connection>
  <connection id="4" xr16:uid="{800C9387-2523-40DE-B113-64BEF2B4BB44}" name="Query - Products" description="Connection to the 'Products' query in the workbook." type="100" refreshedVersion="8" minRefreshableVersion="5">
    <extLst>
      <ext xmlns:x15="http://schemas.microsoft.com/office/spreadsheetml/2010/11/main" uri="{DE250136-89BD-433C-8126-D09CA5730AF9}">
        <x15:connection id="dddbc24e-ac2a-4b28-a057-da5cfb36342d"/>
      </ext>
    </extLst>
  </connection>
  <connection id="5" xr16:uid="{6FA90EF7-11D5-4B5D-98AC-99330A9C21BB}" name="Query - Sales" description="Connection to the 'Sales' query in the workbook." type="100" refreshedVersion="8" minRefreshableVersion="5">
    <extLst>
      <ext xmlns:x15="http://schemas.microsoft.com/office/spreadsheetml/2010/11/main" uri="{DE250136-89BD-433C-8126-D09CA5730AF9}">
        <x15:connection id="3eb91d10-9816-437e-958b-73d9250bfd73"/>
      </ext>
    </extLst>
  </connection>
  <connection id="6" xr16:uid="{246F7954-C808-4B0A-8F6A-830C25BA4E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<sst xmlns="http://schemas.openxmlformats.org/spreadsheetml/2006/main" count="35" uniqueCount="21">
  <si>
    <t>NEXUS GAMING - B2B PERFORMANCE</t>
  </si>
  <si>
    <t>Total Revenue</t>
  </si>
  <si>
    <t>Gross Profit</t>
  </si>
  <si>
    <t>Avg Customer Rating</t>
  </si>
  <si>
    <t>Row Labels</t>
  </si>
  <si>
    <t>Grand Total</t>
  </si>
  <si>
    <t>Jan</t>
  </si>
  <si>
    <t>Feb</t>
  </si>
  <si>
    <t>Mar</t>
  </si>
  <si>
    <t>Apr</t>
  </si>
  <si>
    <t>May</t>
  </si>
  <si>
    <t>Jun</t>
  </si>
  <si>
    <t>Jul</t>
  </si>
  <si>
    <t>ASUS ROG Ally X</t>
  </si>
  <si>
    <t>RTX 4070 Super</t>
  </si>
  <si>
    <t>RX 7900 XTX</t>
  </si>
  <si>
    <t>TOTAL REVENUE</t>
  </si>
  <si>
    <t>AVERAGE RATING</t>
  </si>
  <si>
    <t>GROSS PROFIT</t>
  </si>
  <si>
    <t>RTX 4090 Extreme</t>
  </si>
  <si>
    <t>Xbox Series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</si>
</sst>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809]* #,##0_-;\-[$£-809]* #,##0_-;_-[$£-809]* &quot;-&quot;??_-;_-@_-"/>
  </numFmts>
  <fonts count="5" x14ac:knownFonts="1">
    <font>
      <sz val="11"/>
      <color theme="1"/>
      <name val="Corbel"/>
      <family val="2"/>
      <scheme val="minor"/>
    </font>
    <font>
      <b/>
      <sz val="26"/>
      <color theme="1"/>
      <name val="Corbel"/>
      <family val="2"/>
      <charset val="238"/>
      <scheme val="minor"/>
    </font>
    <font>
      <b/>
      <sz val="22"/>
      <color theme="4" tint="-0.249977111117893"/>
      <name val="Corbel"/>
      <family val="2"/>
      <charset val="238"/>
      <scheme val="minor"/>
    </font>
    <font>
      <sz val="11"/>
      <color theme="2" tint="-0.249977111117893"/>
      <name val="Corbel"/>
      <family val="2"/>
      <scheme val="minor"/>
    </font>
    <font>
      <b/>
      <sz val="16"/>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0" fillId="0" borderId="0" xfId="0" applyFont="1"/>
    <xf numFmtId="164" fontId="0" fillId="0" borderId="0" xfId="0" applyNumberFormat="1"/>
    <xf numFmtId="165" fontId="0" fillId="0" borderId="0" xfId="0" applyNumberFormat="1"/>
  </cellXfs>
  <cellStyles count="1">
    <cellStyle name="Normal" xfId="0" builtinId="0"/>
  </cellStyles>
  <dxfs count="4">
    <dxf>
      <numFmt numFmtId="165" formatCode="_-[$£-809]* #,##0_-;\-[$£-809]* #,##0_-;_-[$£-809]* &quot;-&quot;??_-;_-@_-"/>
    </dxf>
    <dxf>
      <numFmt numFmtId="165" formatCode="_-[$£-809]* #,##0_-;\-[$£-809]* #,##0_-;_-[$£-809]* &quot;-&quot;??_-;_-@_-"/>
    </dxf>
    <dxf>
      <numFmt numFmtId="165" formatCode="_-[$£-809]* #,##0_-;\-[$£-809]* #,##0_-;_-[$£-809]* &quot;-&quot;??_-;_-@_-"/>
    </dxf>
    <dxf>
      <numFmt numFmtId="165" formatCode="_-[$£-809]* #,##0_-;\-[$£-809]* #,##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5.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[Nexus_Gaming_Analysis_v5_Final.xlsx]Calculation_Sheet!PivotTable2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Calculation_Sheet!$B$10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Calculation_Sheet!$A$11:$A$18</c:f>
              <c:strCache>
                <c:ptCount val="7"/>
                <c:pt idx="0">
                  <c:v>Jan</c:v>
                </c:pt>
                <c:pt idx="1">
                  <c:v>Feb</c:v>
                </c:pt>
                <c:pt idx="2">
                  <c:v>Mar</c:v>
                </c:pt>
                <c:pt idx="3">
                  <c:v>Apr</c:v>
                </c:pt>
                <c:pt idx="4">
                  <c:v>May</c:v>
                </c:pt>
                <c:pt idx="5">
                  <c:v>Jun</c:v>
                </c:pt>
                <c:pt idx="6">
                  <c:v>Jul</c:v>
                </c:pt>
              </c:strCache>
            </c:strRef>
          </c:cat>
          <c:val>
            <c:numRef>
              <c:f>Calculation_Sheet!$B$11:$B$18</c:f>
              <c:numCache>
                <c:formatCode>General</c:formatCode>
                <c:ptCount val="7"/>
                <c:pt idx="0">
                  <c:v>37827</c:v>
                </c:pt>
                <c:pt idx="1">
                  <c:v>34724</c:v>
                </c:pt>
                <c:pt idx="2">
                  <c:v>39709</c:v>
                </c:pt>
                <c:pt idx="3">
                  <c:v>37430</c:v>
                </c:pt>
                <c:pt idx="4">
                  <c:v>41877</c:v>
                </c:pt>
                <c:pt idx="5">
                  <c:v>33338</c:v>
                </c:pt>
                <c:pt idx="6">
                  <c:v>32327</c:v>
                </c:pt>
              </c:numCache>
            </c:numRef>
          </c:val>
          <c:smooth val="0"/>
          <c:extLst>
            <c:ext xmlns:c16="http://schemas.microsoft.com/office/drawing/2014/chart" uri="{C3380CC4-5D6E-409C-BE32-E72D297353CC}">
              <c16:uniqueId val="{00000000-73E3-4372-981D-5E14A9D3C085}"/>
            </c:ext>
          </c:extLst>
        </c:ser>
        <c:dLbls>
          <c:dLblPos val="t"/>
          <c:showLegendKey val="0"/>
          <c:showVal val="1"/>
          <c:showCatName val="0"/>
          <c:showSerName val="0"/>
          <c:showPercent val="0"/>
          <c:showBubbleSize val="0"/>
        </c:dLbls>
        <c:smooth val="0"/>
        <c:axId val="486328336"/>
        <c:axId val="576990672"/>
      </c:lineChart>
      <c:catAx>
        <c:axId val="48632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90672"/>
        <c:crosses val="autoZero"/>
        <c:auto val="1"/>
        <c:lblAlgn val="ctr"/>
        <c:lblOffset val="100"/>
        <c:noMultiLvlLbl val="0"/>
      </c:catAx>
      <c:valAx>
        <c:axId val="576990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632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[Nexus_Gaming_Analysis_v5_Final.xlsx]Calculation_Sheet!PivotTable3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Products by Revenue</a:t>
            </a:r>
            <a:endParaRPr lang="en-US"/>
          </a:p>
        </c:rich>
      </c:tx>
      <c:layout>
        <c:manualLayout>
          <c:xMode val="edge"/>
          <c:yMode val="edge"/>
          <c:x val="0.3615693350831146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Calculation_Sheet!$F$10</c:f>
              <c:strCache>
                <c:ptCount val="1"/>
                <c:pt idx="0">
                  <c:v>Total</c:v>
                </c:pt>
              </c:strCache>
            </c:strRef>
          </c:tx>
          <c:spPr>
            <a:solidFill>
              <a:schemeClr val="accent1"/>
            </a:solidFill>
            <a:ln>
              <a:noFill/>
            </a:ln>
            <a:effectLst/>
          </c:spPr>
          <c:invertIfNegative val="0"/>
          <c:cat>
            <c:strRef>
              <c:f>Calculation_Sheet!$E$11:$E$16</c:f>
              <c:strCache>
                <c:ptCount val="5"/>
                <c:pt idx="0">
                  <c:v>RTX 4090 Extreme</c:v>
                </c:pt>
                <c:pt idx="1">
                  <c:v>ASUS ROG Ally X</c:v>
                </c:pt>
                <c:pt idx="2">
                  <c:v>Xbox Series X</c:v>
                </c:pt>
                <c:pt idx="3">
                  <c:v>RX 7900 XTX</c:v>
                </c:pt>
                <c:pt idx="4">
                  <c:v>RTX 4070 Super</c:v>
                </c:pt>
              </c:strCache>
            </c:strRef>
          </c:cat>
          <c:val>
            <c:numRef>
              <c:f>Calculation_Sheet!$F$11:$F$16</c:f>
              <c:numCache>
                <c:formatCode>General</c:formatCode>
                <c:ptCount val="5"/>
                <c:pt idx="0">
                  <c:v>13592</c:v>
                </c:pt>
                <c:pt idx="1">
                  <c:v>15181</c:v>
                </c:pt>
                <c:pt idx="2">
                  <c:v>15807</c:v>
                </c:pt>
                <c:pt idx="3">
                  <c:v>24674</c:v>
                </c:pt>
                <c:pt idx="4">
                  <c:v>25254</c:v>
                </c:pt>
              </c:numCache>
            </c:numRef>
          </c:val>
          <c:extLst>
            <c:ext xmlns:c16="http://schemas.microsoft.com/office/drawing/2014/chart" uri="{C3380CC4-5D6E-409C-BE32-E72D297353CC}">
              <c16:uniqueId val="{00000000-374B-4B96-A710-46EEEFFC77F9}"/>
            </c:ext>
          </c:extLst>
        </c:ser>
        <c:dLbls>
          <c:showLegendKey val="0"/>
          <c:showVal val="0"/>
          <c:showCatName val="0"/>
          <c:showSerName val="0"/>
          <c:showPercent val="0"/>
          <c:showBubbleSize val="0"/>
        </c:dLbls>
        <c:gapWidth val="182"/>
        <c:axId val="728024512"/>
        <c:axId val="728024992"/>
      </c:barChart>
      <c:catAx>
        <c:axId val="72802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992"/>
        <c:crosses val="autoZero"/>
        <c:auto val="1"/>
        <c:lblAlgn val="ctr"/>
        <c:lblOffset val="100"/>
        <c:noMultiLvlLbl val="0"/>
      </c:catAx>
      <c:valAx>
        <c:axId val="72802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[Nexus_Gaming_Analysis_v5_Final.xlsx]Calculation_Sheet!PivotTable4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a:t>
            </a:r>
            <a:r>
              <a:rPr lang="en-US"/>
              <a:t>verage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Calculation_Sheet!$B$20</c:f>
              <c:strCache>
                <c:ptCount val="1"/>
                <c:pt idx="0">
                  <c:v>Total</c:v>
                </c:pt>
              </c:strCache>
            </c:strRef>
          </c:tx>
          <c:spPr>
            <a:solidFill>
              <a:schemeClr val="accent1"/>
            </a:solidFill>
            <a:ln>
              <a:noFill/>
            </a:ln>
            <a:effectLst/>
          </c:spPr>
          <c:invertIfNegative val="0"/>
          <c:cat>
            <c:strRef>
              <c:f>Calculation_Sheet!$A$21:$A$28</c:f>
              <c:strCache>
                <c:ptCount val="7"/>
                <c:pt idx="0">
                  <c:v>Apr</c:v>
                </c:pt>
                <c:pt idx="1">
                  <c:v>Feb</c:v>
                </c:pt>
                <c:pt idx="2">
                  <c:v>Jun</c:v>
                </c:pt>
                <c:pt idx="3">
                  <c:v>May</c:v>
                </c:pt>
                <c:pt idx="4">
                  <c:v>Mar</c:v>
                </c:pt>
                <c:pt idx="5">
                  <c:v>Jan</c:v>
                </c:pt>
                <c:pt idx="6">
                  <c:v>Jul</c:v>
                </c:pt>
              </c:strCache>
            </c:strRef>
          </c:cat>
          <c:val>
            <c:numRef>
              <c:f>Calculation_Sheet!$B$21:$B$28</c:f>
              <c:numCache>
                <c:formatCode>0.0</c:formatCode>
                <c:ptCount val="7"/>
                <c:pt idx="0">
                  <c:v>4.1111111111111107</c:v>
                </c:pt>
                <c:pt idx="1">
                  <c:v>4</c:v>
                </c:pt>
                <c:pt idx="2">
                  <c:v>4</c:v>
                </c:pt>
                <c:pt idx="3">
                  <c:v>3.6666666666666665</c:v>
                </c:pt>
                <c:pt idx="4">
                  <c:v>3.6</c:v>
                </c:pt>
                <c:pt idx="5">
                  <c:v>3.5555555555555554</c:v>
                </c:pt>
                <c:pt idx="6">
                  <c:v>3</c:v>
                </c:pt>
              </c:numCache>
            </c:numRef>
          </c:val>
          <c:extLst>
            <c:ext xmlns:c16="http://schemas.microsoft.com/office/drawing/2014/chart" uri="{C3380CC4-5D6E-409C-BE32-E72D297353CC}">
              <c16:uniqueId val="{00000004-4B0E-4673-B103-143614FE3128}"/>
            </c:ext>
          </c:extLst>
        </c:ser>
        <c:dLbls>
          <c:showLegendKey val="0"/>
          <c:showVal val="0"/>
          <c:showCatName val="0"/>
          <c:showSerName val="0"/>
          <c:showPercent val="0"/>
          <c:showBubbleSize val="0"/>
        </c:dLbls>
        <c:gapWidth val="182"/>
        <c:axId val="1830412640"/>
        <c:axId val="1830415520"/>
      </c:barChart>
      <c:catAx>
        <c:axId val="1830412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15520"/>
        <c:crosses val="autoZero"/>
        <c:auto val="1"/>
        <c:lblAlgn val="ctr"/>
        <c:lblOffset val="100"/>
        <c:noMultiLvlLbl val="0"/>
      </c:catAx>
      <c:valAx>
        <c:axId val="183041552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1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152450</xdr:colOff>
      <xdr:row>5</xdr:row>
      <xdr:rowOff>101600</xdr:rowOff>
    </xdr:from>
    <xdr:to>
      <xdr:col>15</xdr:col>
      <xdr:colOff>520750</xdr:colOff>
      <xdr:row>20</xdr:row>
      <xdr:rowOff>82550</xdr:rowOff>
    </xdr:to>
    <xdr:graphicFrame macro="">
      <xdr:nvGraphicFramePr>
        <xdr:cNvPr id="2" name="Chart 1">
          <a:extLst>
            <a:ext uri="{FF2B5EF4-FFF2-40B4-BE49-F238E27FC236}">
              <a16:creationId xmlns:a16="http://schemas.microsoft.com/office/drawing/2014/main" id="{72D2C6A6-5950-4664-B89C-2C5C31251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xdr:colOff>
      <xdr:row>21</xdr:row>
      <xdr:rowOff>88900</xdr:rowOff>
    </xdr:from>
    <xdr:to>
      <xdr:col>6</xdr:col>
      <xdr:colOff>558850</xdr:colOff>
      <xdr:row>37</xdr:row>
      <xdr:rowOff>22500</xdr:rowOff>
    </xdr:to>
    <xdr:graphicFrame macro="">
      <xdr:nvGraphicFramePr>
        <xdr:cNvPr id="3" name="Chart 2">
          <a:extLst>
            <a:ext uri="{FF2B5EF4-FFF2-40B4-BE49-F238E27FC236}">
              <a16:creationId xmlns:a16="http://schemas.microsoft.com/office/drawing/2014/main" id="{961B8BC6-352B-4242-9B4B-F0272B6C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393700</xdr:colOff>
      <xdr:row>5</xdr:row>
      <xdr:rowOff>101600</xdr:rowOff>
    </xdr:from>
    <xdr:to>
      <xdr:col>19</xdr:col>
      <xdr:colOff>241300</xdr:colOff>
      <xdr:row>24</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A0A267E-1CB1-AF81-8DD9-0D33A0AAD1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63300" y="1524000"/>
              <a:ext cx="1828800" cy="339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69850</xdr:colOff>
      <xdr:row>3</xdr:row>
      <xdr:rowOff>57149</xdr:rowOff>
    </xdr:from>
    <xdr:to>
      <xdr:col>8</xdr:col>
      <xdr:colOff>9050</xdr:colOff>
      <xdr:row>4</xdr:row>
      <xdr:rowOff>127199</xdr:rowOff>
    </xdr:to>
    <xdr:sp macro="" textlink="Calculation_Sheet!$F$2">
      <xdr:nvSpPr>
        <xdr:cNvPr id="7" name="TextBox 6">
          <a:extLst>
            <a:ext uri="{FF2B5EF4-FFF2-40B4-BE49-F238E27FC236}">
              <a16:creationId xmlns:a16="http://schemas.microsoft.com/office/drawing/2014/main" id="{7D98C2B1-CEA1-BAD3-F69B-24969B952734}"/>
            </a:ext>
          </a:extLst>
        </xdr:cNvPr>
        <xdr:cNvSpPr txBox="1"/>
      </xdr:nvSpPr>
      <xdr:spPr>
        <a:xfrm>
          <a:off x="423545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91035E8D-D32D-4BFE-9865-55D5F2ADA565}"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£73,879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209550</xdr:colOff>
      <xdr:row>3</xdr:row>
      <xdr:rowOff>57149</xdr:rowOff>
    </xdr:from>
    <xdr:to>
      <xdr:col>5</xdr:col>
      <xdr:colOff>148750</xdr:colOff>
      <xdr:row>4</xdr:row>
      <xdr:rowOff>127199</xdr:rowOff>
    </xdr:to>
    <xdr:sp macro="" textlink="Calculation_Sheet!$G$2">
      <xdr:nvSpPr>
        <xdr:cNvPr id="8" name="TextBox 7">
          <a:extLst>
            <a:ext uri="{FF2B5EF4-FFF2-40B4-BE49-F238E27FC236}">
              <a16:creationId xmlns:a16="http://schemas.microsoft.com/office/drawing/2014/main" id="{381C457C-8530-65B6-BC99-DA2DCDBCE9CE}"/>
            </a:ext>
          </a:extLst>
        </xdr:cNvPr>
        <xdr:cNvSpPr txBox="1"/>
      </xdr:nvSpPr>
      <xdr:spPr>
        <a:xfrm>
          <a:off x="255270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082CC189-E8CD-493B-AE2C-131772649A39}"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3.7</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1</xdr:col>
      <xdr:colOff>215900</xdr:colOff>
      <xdr:row>3</xdr:row>
      <xdr:rowOff>57149</xdr:rowOff>
    </xdr:from>
    <xdr:ext cx="1260000" cy="432000"/>
    <xdr:sp macro="" textlink="Calculation_Sheet!$E$2">
      <xdr:nvSpPr>
        <xdr:cNvPr id="9" name="TextBox 8">
          <a:extLst>
            <a:ext uri="{FF2B5EF4-FFF2-40B4-BE49-F238E27FC236}">
              <a16:creationId xmlns:a16="http://schemas.microsoft.com/office/drawing/2014/main" id="{C773E699-191E-A202-37FD-083AD8C9D791}"/>
            </a:ext>
          </a:extLst>
        </xdr:cNvPr>
        <xdr:cNvSpPr txBox="1"/>
      </xdr:nvSpPr>
      <xdr:spPr>
        <a:xfrm>
          <a:off x="87630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spAutoFit/>
        </a:bodyPr>
        <a:lstStyle/>
        <a:p>
          <a:pPr algn="ctr"/>
          <a:fld id="{BF316139-91BD-4B77-BB24-FB406DE1FA87}"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£257,232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8</xdr:col>
      <xdr:colOff>463550</xdr:colOff>
      <xdr:row>21</xdr:row>
      <xdr:rowOff>88900</xdr:rowOff>
    </xdr:from>
    <xdr:to>
      <xdr:col>15</xdr:col>
      <xdr:colOff>520750</xdr:colOff>
      <xdr:row>37</xdr:row>
      <xdr:rowOff>22500</xdr:rowOff>
    </xdr:to>
    <xdr:graphicFrame macro="">
      <xdr:nvGraphicFramePr>
        <xdr:cNvPr id="5" name="Chart 4">
          <a:extLst>
            <a:ext uri="{FF2B5EF4-FFF2-40B4-BE49-F238E27FC236}">
              <a16:creationId xmlns:a16="http://schemas.microsoft.com/office/drawing/2014/main" id="{5B25901F-ACCA-4384-8563-2866767FF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6.413458564813" backgroundQuery="1" createdVersion="8" refreshedVersion="8" minRefreshableVersion="3" recordCount="0" supportSubquery="1" supportAdvancedDrill="1" xr:uid="{213ED234-8070-40DB-99FB-936242D57565}">
  <cacheSource type="external" connectionId="6"/>
  <cacheFields count="3">
    <cacheField name="[Products].[Product_Name].[Product_Name]" caption="Product_Name" numFmtId="0" hierarchy="13" level="1">
      <sharedItems count="5">
        <s v="ASUS ROG Ally X"/>
        <s v="RTX 4070 Super"/>
        <s v="RTX 4090 Extreme"/>
        <s v="RX 7900 XTX"/>
        <s v="Xbox Series X"/>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2"/>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1"/>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6.413459027775" backgroundQuery="1" createdVersion="8" refreshedVersion="8" minRefreshableVersion="3" recordCount="0" supportSubquery="1" supportAdvancedDrill="1" xr:uid="{AE393C76-338F-4EC9-B771-8047F06D7522}">
  <cacheSource type="external" connectionId="6"/>
  <cacheFields count="4">
    <cacheField name="[Measures].[Total Revenue]" caption="Total Revenue" numFmtId="0" hierarchy="29" level="32767"/>
    <cacheField name="[Measures].[Gross Profit]" caption="Gross Profit" numFmtId="0" hierarchy="24" level="32767"/>
    <cacheField name="[Measures].[Avg Customer Rating]" caption="Avg Customer Rating" numFmtId="0" hierarchy="28"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oneField="1">
      <fieldsUsage count="1">
        <fieldUsage x="1"/>
      </fieldsUsage>
    </cacheHierarchy>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oneField="1">
      <fieldsUsage count="1">
        <fieldUsage x="2"/>
      </fieldsUsage>
    </cacheHierarchy>
    <cacheHierarchy uniqueName="[Measures].[Total Revenue]" caption="Total Revenue" measure="1" displayFolder="" measureGroup="Sales" count="0" oneField="1">
      <fieldsUsage count="1">
        <fieldUsage x="0"/>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6.413459722222" backgroundQuery="1" createdVersion="8" refreshedVersion="8" minRefreshableVersion="3" recordCount="0" supportSubquery="1" supportAdvancedDrill="1" xr:uid="{DA5973AA-25AB-4CCA-9D42-CACF6E234C80}">
  <cacheSource type="external" connectionId="6"/>
  <cacheFields count="4">
    <cacheField name="[Calendar].[Calendar].[Calendar]" caption="Calendar" numFmtId="0"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ar].[Calendar (Month)].[Calendar (Month)]" caption="Calendar (Month)" numFmtId="0" hierarchy="1" level="1">
      <sharedItems count="7">
        <s v="Jan"/>
        <s v="Feb"/>
        <s v="Mar"/>
        <s v="Apr"/>
        <s v="May"/>
        <s v="Jun"/>
        <s v="Jul"/>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2" memberValueDatatype="7" unbalanced="0">
      <fieldsUsage count="2">
        <fieldUsage x="-1"/>
        <fieldUsage x="0"/>
      </fieldsUsage>
    </cacheHierarchy>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2"/>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6.41346087963" backgroundQuery="1" createdVersion="8" refreshedVersion="8" minRefreshableVersion="3" recordCount="0" supportSubquery="1" supportAdvancedDrill="1" xr:uid="{41757B74-86F5-42E8-8F7C-23EBFDD6A5C1}">
  <cacheSource type="external" connectionId="6"/>
  <cacheFields count="3">
    <cacheField name="[Calendar].[Calendar (Month)].[Calendar (Month)]" caption="Calendar (Month)" numFmtId="0" hierarchy="1" level="1">
      <sharedItems count="7">
        <s v="Jan"/>
        <s v="Feb"/>
        <s v="Mar"/>
        <s v="Apr"/>
        <s v="May"/>
        <s v="Jun"/>
        <s v="Jul"/>
      </sharedItems>
    </cacheField>
    <cacheField name="[Measures].[Avg Customer Rating]" caption="Avg Customer Rating" numFmtId="0" hierarchy="28"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0"/>
      </fieldsUsage>
    </cacheHierarchy>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2"/>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oneField="1">
      <fieldsUsage count="1">
        <fieldUsage x="1"/>
      </fieldsUsage>
    </cacheHierarchy>
    <cacheHierarchy uniqueName="[Measures].[Total Revenue]" caption="Total Revenue" measure="1" displayFolder="" measureGroup="Sales" count="0"/>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379886689814" backgroundQuery="1" createdVersion="3" refreshedVersion="8" minRefreshableVersion="3" recordCount="0" supportSubquery="1" supportAdvancedDrill="1" xr:uid="{E2AFF81A-B154-4012-8581-FC0EFA3E0369}">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52189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FF41D-1FC9-4A7D-9D3B-D9BE9F53748E}" name="PivotTable4" cacheId="16" applyNumberFormats="0" applyBorderFormats="0" applyFontFormats="0" applyPatternFormats="0" applyAlignmentFormats="0" applyWidthHeightFormats="1" dataCaption="Values" tag="f5e73016-505d-478a-94a7-c41c518fe2bc" updatedVersion="8" minRefreshableVersion="3" useAutoFormatting="1" subtotalHiddenItems="1" itemPrintTitles="1" createdVersion="8" indent="0" outline="1" outlineData="1" multipleFieldFilters="0" chartFormat="9">
  <location ref="A20:B28" firstHeaderRow="1" firstDataRow="1" firstDataCol="1"/>
  <pivotFields count="3">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1"/>
    </i>
    <i>
      <x v="5"/>
    </i>
    <i>
      <x v="4"/>
    </i>
    <i>
      <x v="2"/>
    </i>
    <i>
      <x/>
    </i>
    <i>
      <x v="6"/>
    </i>
    <i t="grand">
      <x/>
    </i>
  </rowItems>
  <colItems count="1">
    <i/>
  </colItems>
  <dataFields count="1">
    <dataField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eedback]"/>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D49F1-E87D-416D-B779-F29C57E9A3E7}" name="PivotTable1" cacheId="10" applyNumberFormats="0" applyBorderFormats="0" applyFontFormats="0" applyPatternFormats="0" applyAlignmentFormats="0" applyWidthHeightFormats="1" dataCaption="Values" missingCaption="0" tag="7524d66f-d8d0-40a3-a9ad-fd487b146d6a" updatedVersion="8" minRefreshableVersion="3"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fld="1" subtotal="count" baseField="0" baseItem="0" numFmtId="165"/>
    <dataField fld="2" subtotal="count" baseField="0" baseItem="0"/>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Feedback]"/>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0156E-5BA9-4934-A922-4B5DF5AEB43B}" name="PivotTable3" cacheId="7" applyNumberFormats="0" applyBorderFormats="0" applyFontFormats="0" applyPatternFormats="0" applyAlignmentFormats="0" applyWidthHeightFormats="1" dataCaption="Values" tag="36bbd165-8c29-4642-af70-78909782183c" updatedVersion="8" minRefreshableVersion="3" useAutoFormatting="1" subtotalHiddenItems="1" itemPrintTitles="1" createdVersion="8" indent="0" outline="1" outlineData="1" multipleFieldFilters="0" chartFormat="17">
  <location ref="E10:F16"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4"/>
    </i>
    <i>
      <x v="3"/>
    </i>
    <i>
      <x v="1"/>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55E3B5-0516-431F-85FA-7EF300666D65}" name="PivotTable2" cacheId="13" applyNumberFormats="0" applyBorderFormats="0" applyFontFormats="0" applyPatternFormats="0" applyAlignmentFormats="0" applyWidthHeightFormats="1" dataCaption="Values" tag="45b9e8bd-2814-432c-a8d1-755216127beb" updatedVersion="8" minRefreshableVersion="3" useAutoFormatting="1" subtotalHiddenItems="1" itemPrintTitles="1" createdVersion="8" indent="0" outline="1" outlineData="1" multipleFieldFilters="0" chartFormat="16">
  <location ref="A10:B18"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040CE-D942-4C66-89CD-B2B96843ABC0}" sourceName="[Clients].[Region]">
  <pivotTables>
    <pivotTable tabId="2" name="PivotTable3"/>
    <pivotTable tabId="2" name="PivotTable1"/>
    <pivotTable tabId="2" name="PivotTable2"/>
    <pivotTable tabId="2" name="PivotTable4"/>
  </pivotTables>
  <data>
    <olap pivotCacheId="2135218962">
      <levels count="2">
        <level uniqueName="[Clients].[Region].[(All)]" sourceCaption="(All)" count="0"/>
        <level uniqueName="[Clients].[Region].[Region]" sourceCaption="Region" count="11">
          <ranges>
            <range startItem="0">
              <i n="[Clients].[Region].&amp;[East Midlands]" c="East Midlands"/>
              <i n="[Clients].[Region].&amp;[Greater London]" c="Greater London"/>
              <i n="[Clients].[Region].&amp;[N. Ireland]" c="N. Ireland"/>
              <i n="[Clients].[Region].&amp;[North East]" c="North East"/>
              <i n="[Clients].[Region].&amp;[North West]" c="North West"/>
              <i n="[Clients].[Region].&amp;[Scotland]" c="Scotland"/>
              <i n="[Clients].[Region].&amp;[South East]" c="South East"/>
              <i n="[Clients].[Region].&amp;[South West]" c="South West"/>
              <i n="[Clients].[Region].&amp;[Wales]" c="Wales"/>
              <i n="[Clients].[Region].&amp;[West Midlands]" c="West Midlands"/>
              <i n="[Clients].[Region].&amp;[Yorkshire]" c="Yorkshire"/>
            </range>
          </ranges>
        </level>
      </levels>
      <selections count="1">
        <selection n="[Client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69606D-7350-46E8-B7F7-1CE453E50F80}" cache="Slicer_Region" caption="Region" level="1" rowHeight="241300"/>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
  <sheetViews>
    <sheetView showGridLines="0" showRowColHeaders="0" tabSelected="1" topLeftCell="A2" workbookViewId="0">
      <selection activeCell="X9" sqref="X9"/>
    </sheetView>
  </sheetViews>
  <sheetFormatPr defaultRowHeight="14.5" x14ac:dyDescent="0.35"/>
  <cols>
    <col min="2" max="2" width="13.4140625" customWidth="1"/>
    <col min="6" max="6" width="6.58203125" customWidth="1"/>
  </cols>
  <sheetData>
    <row r="1" spans="2:10" ht="33.5" x14ac:dyDescent="0.75">
      <c r="B1" s="1" t="s">
        <v>0</v>
      </c>
      <c r="C1" s="1"/>
      <c r="D1" s="1"/>
      <c r="E1" s="1"/>
    </row>
    <row r="3" spans="2:10" ht="21" x14ac:dyDescent="0.5">
      <c r="B3" s="7" t="s">
        <v>16</v>
      </c>
      <c r="C3" s="8"/>
      <c r="D3" s="7" t="s">
        <v>17</v>
      </c>
      <c r="E3" s="7"/>
      <c r="F3" s="8"/>
      <c r="G3" s="7" t="s">
        <v>18</v>
      </c>
      <c r="H3" s="7"/>
      <c r="I3" s="6"/>
      <c r="J3" s="6"/>
    </row>
    <row r="4" spans="2:10" ht="28.5" x14ac:dyDescent="0.65">
      <c r="B4" s="5"/>
      <c r="E4" s="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2271-267A-4B36-AB98-5F4DAB9CD4E2}">
  <dimension ref="A1:G28"/>
  <sheetViews>
    <sheetView zoomScaleNormal="100" workbookViewId="0">
      <selection activeCell="B10" sqref="B10"/>
    </sheetView>
  </sheetViews>
  <sheetFormatPr defaultRowHeight="14.5" x14ac:dyDescent="0.35"/>
  <cols>
    <col min="1" max="1" width="11.83203125" bestFit="1" customWidth="1"/>
    <col min="2" max="3" width="17.6640625" bestFit="1" customWidth="1"/>
    <col min="5" max="5" width="14.83203125" bestFit="1" customWidth="1"/>
    <col min="6" max="6" width="12.1640625" bestFit="1" customWidth="1"/>
  </cols>
  <sheetData>
    <row r="1" spans="1:7" x14ac:dyDescent="0.35">
      <c r="A1" t="s">
        <v>1</v>
      </c>
      <c r="B1" t="s">
        <v>2</v>
      </c>
      <c r="C1" t="s">
        <v>3</v>
      </c>
    </row>
    <row r="2" spans="1:7" x14ac:dyDescent="0.35">
      <c r="A2" s="10">
        <v>257232</v>
      </c>
      <c r="B2" s="10">
        <v>73879</v>
      </c>
      <c r="C2" s="9">
        <v>3.7333333333333334</v>
      </c>
      <c r="E2" s="10">
        <f>GETPIVOTDATA("[Measures].[Total Revenue]",$A$1)</f>
        <v>257232</v>
      </c>
      <c r="F2" s="10">
        <f>GETPIVOTDATA("[Measures].[Gross Profit]",$A$1)</f>
        <v>73879</v>
      </c>
      <c r="G2" s="9">
        <f>GETPIVOTDATA("[Measures].[Avg Customer Rating]",$A$1)</f>
        <v>3.7333333333333334</v>
      </c>
    </row>
    <row r="10" spans="1:7" x14ac:dyDescent="0.35">
      <c r="A10" s="3" t="s">
        <v>4</v>
      </c>
      <c r="B10" t="s">
        <v>1</v>
      </c>
      <c r="E10" s="3" t="s">
        <v>4</v>
      </c>
      <c r="F10" t="s">
        <v>1</v>
      </c>
    </row>
    <row r="11" spans="1:7" x14ac:dyDescent="0.35">
      <c r="A11" s="4" t="s">
        <v>6</v>
      </c>
      <c r="B11" s="2">
        <v>37827</v>
      </c>
      <c r="E11" s="4" t="s">
        <v>19</v>
      </c>
      <c r="F11" s="2">
        <v>13592</v>
      </c>
    </row>
    <row r="12" spans="1:7" x14ac:dyDescent="0.35">
      <c r="A12" s="4" t="s">
        <v>7</v>
      </c>
      <c r="B12" s="2">
        <v>34724</v>
      </c>
      <c r="E12" s="4" t="s">
        <v>13</v>
      </c>
      <c r="F12" s="2">
        <v>15181</v>
      </c>
    </row>
    <row r="13" spans="1:7" x14ac:dyDescent="0.35">
      <c r="A13" s="4" t="s">
        <v>8</v>
      </c>
      <c r="B13" s="2">
        <v>39709</v>
      </c>
      <c r="E13" s="4" t="s">
        <v>20</v>
      </c>
      <c r="F13" s="2">
        <v>15807</v>
      </c>
    </row>
    <row r="14" spans="1:7" x14ac:dyDescent="0.35">
      <c r="A14" s="4" t="s">
        <v>9</v>
      </c>
      <c r="B14" s="2">
        <v>37430</v>
      </c>
      <c r="E14" s="4" t="s">
        <v>15</v>
      </c>
      <c r="F14" s="2">
        <v>24674</v>
      </c>
    </row>
    <row r="15" spans="1:7" x14ac:dyDescent="0.35">
      <c r="A15" s="4" t="s">
        <v>10</v>
      </c>
      <c r="B15" s="2">
        <v>41877</v>
      </c>
      <c r="E15" s="4" t="s">
        <v>14</v>
      </c>
      <c r="F15" s="2">
        <v>25254</v>
      </c>
    </row>
    <row r="16" spans="1:7" x14ac:dyDescent="0.35">
      <c r="A16" s="4" t="s">
        <v>11</v>
      </c>
      <c r="B16" s="2">
        <v>33338</v>
      </c>
      <c r="E16" s="4" t="s">
        <v>5</v>
      </c>
      <c r="F16" s="2">
        <v>94508</v>
      </c>
    </row>
    <row r="17" spans="1:2" x14ac:dyDescent="0.35">
      <c r="A17" s="4" t="s">
        <v>12</v>
      </c>
      <c r="B17" s="2">
        <v>32327</v>
      </c>
    </row>
    <row r="18" spans="1:2" x14ac:dyDescent="0.35">
      <c r="A18" s="4" t="s">
        <v>5</v>
      </c>
      <c r="B18" s="2">
        <v>257232</v>
      </c>
    </row>
    <row r="20" spans="1:2" x14ac:dyDescent="0.35">
      <c r="A20" s="3" t="s">
        <v>4</v>
      </c>
      <c r="B20" t="s">
        <v>3</v>
      </c>
    </row>
    <row r="21" spans="1:2" x14ac:dyDescent="0.35">
      <c r="A21" s="4" t="s">
        <v>9</v>
      </c>
      <c r="B21" s="9">
        <v>4.1111111111111107</v>
      </c>
    </row>
    <row r="22" spans="1:2" x14ac:dyDescent="0.35">
      <c r="A22" s="4" t="s">
        <v>7</v>
      </c>
      <c r="B22" s="9">
        <v>4</v>
      </c>
    </row>
    <row r="23" spans="1:2" x14ac:dyDescent="0.35">
      <c r="A23" s="4" t="s">
        <v>11</v>
      </c>
      <c r="B23" s="9">
        <v>4</v>
      </c>
    </row>
    <row r="24" spans="1:2" x14ac:dyDescent="0.35">
      <c r="A24" s="4" t="s">
        <v>10</v>
      </c>
      <c r="B24" s="9">
        <v>3.6666666666666665</v>
      </c>
    </row>
    <row r="25" spans="1:2" x14ac:dyDescent="0.35">
      <c r="A25" s="4" t="s">
        <v>8</v>
      </c>
      <c r="B25" s="9">
        <v>3.6</v>
      </c>
    </row>
    <row r="26" spans="1:2" x14ac:dyDescent="0.35">
      <c r="A26" s="4" t="s">
        <v>6</v>
      </c>
      <c r="B26" s="9">
        <v>3.5555555555555554</v>
      </c>
    </row>
    <row r="27" spans="1:2" x14ac:dyDescent="0.35">
      <c r="A27" s="4" t="s">
        <v>12</v>
      </c>
      <c r="B27" s="9">
        <v>3</v>
      </c>
    </row>
    <row r="28" spans="1:2" x14ac:dyDescent="0.35">
      <c r="A28" s="4" t="s">
        <v>5</v>
      </c>
      <c r="B28" s="9">
        <v>3.7333333333333334</v>
      </c>
    </row>
  </sheetData>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01ADCF5-E06E-42ED-A65D-CFD6289A6F17}">
  <ds:schemaRefs/>
</ds:datastoreItem>
</file>

<file path=customXml/itemProps2.xml><?xml version="1.0" encoding="utf-8"?>
<ds:datastoreItem xmlns:ds="http://schemas.openxmlformats.org/officeDocument/2006/customXml" ds:itemID="{759EE04B-BAAB-49CB-94A5-DE19C8B2788D}">
  <ds:schemaRefs/>
</ds:datastoreItem>
</file>

<file path=customXml/itemProps3.xml><?xml version="1.0" encoding="utf-8"?>
<ds:datastoreItem xmlns:ds="http://schemas.openxmlformats.org/officeDocument/2006/customXml" ds:itemID="{07B6E6AD-2DCE-4386-B787-2B6DB98DA5AC}">
  <ds:schemaRefs/>
</ds:datastoreItem>
</file>

<file path=customXml/itemProps4.xml><?xml version="1.0" encoding="utf-8"?>
<ds:datastoreItem xmlns:ds="http://schemas.openxmlformats.org/officeDocument/2006/customXml" ds:itemID="{BBEF8A10-09F1-44C4-A379-01208591AAEE}">
  <ds:schemaRefs/>
</ds:datastoreItem>
</file>

<file path=customXml/itemProps5.xml><?xml version="1.0" encoding="utf-8"?>
<ds:datastoreItem xmlns:ds="http://schemas.openxmlformats.org/officeDocument/2006/customXml" ds:itemID="{7878701C-9C2F-453F-B8D0-7737A47469F5}">
  <ds:schemaRefs/>
</ds:datastoreItem>
</file>

<file path=customXml/itemProps6.xml><?xml version="1.0" encoding="utf-8"?>
<ds:datastoreItem xmlns:ds="http://schemas.openxmlformats.org/officeDocument/2006/customXml" ds:itemID="{D7D03A5E-3DFB-4D61-BE80-8080227F4796}">
  <ds:schemaRefs/>
</ds:datastoreItem>
</file>

<file path=customXml/itemProps7.xml><?xml version="1.0" encoding="utf-8"?>
<ds:datastoreItem xmlns:ds="http://schemas.openxmlformats.org/officeDocument/2006/customXml" ds:itemID="{0F5058D5-822E-4FEB-84CF-8BE0F1C2E4A0}">
  <ds:schemaRefs/>
</ds:datastoreItem>
</file>

<file path=customXml/itemProps8.xml><?xml version="1.0" encoding="utf-8"?>
<ds:datastoreItem xmlns:ds="http://schemas.openxmlformats.org/officeDocument/2006/customXml" ds:itemID="{8998D87B-4828-4B1D-9377-CA6379ED8735}">
  <ds:schemaRefs/>
</ds:datastoreItem>
</file>

<file path=customXml/itemProps9.xml><?xml version="1.0" encoding="utf-8"?>
<ds:datastoreItem xmlns:ds="http://schemas.openxmlformats.org/officeDocument/2006/customXml" ds:itemID="{7229BE26-6176-4E81-AB38-110EE5A9C1B0}">
  <ds:schemaRefs/>
</ds:datastoreItem>
</file>

<file path=customXml/itemProps10.xml><?xml version="1.0" encoding="utf-8"?>
<ds:datastoreItem xmlns:ds="http://schemas.openxmlformats.org/officeDocument/2006/customXml" ds:itemID="{1F5E3F9F-BBC7-4A08-9E04-925FAF310A12}">
  <ds:schemaRefs/>
</ds:datastoreItem>
</file>

<file path=customXml/itemProps11.xml><?xml version="1.0" encoding="utf-8"?>
<ds:datastoreItem xmlns:ds="http://schemas.openxmlformats.org/officeDocument/2006/customXml" ds:itemID="{13E09B9B-E494-44B3-BC06-BEA1D477261F}">
  <ds:schemaRefs/>
</ds:datastoreItem>
</file>

<file path=customXml/itemProps12.xml><?xml version="1.0" encoding="utf-8"?>
<ds:datastoreItem xmlns:ds="http://schemas.openxmlformats.org/officeDocument/2006/customXml" ds:itemID="{82012013-E34D-4788-B569-DF459456B193}">
  <ds:schemaRefs/>
</ds:datastoreItem>
</file>

<file path=customXml/itemProps13.xml><?xml version="1.0" encoding="utf-8"?>
<ds:datastoreItem xmlns:ds="http://schemas.openxmlformats.org/officeDocument/2006/customXml" ds:itemID="{3D5BE277-4C24-4190-92D1-9A3CEF354083}">
  <ds:schemaRefs/>
</ds:datastoreItem>
</file>

<file path=customXml/itemProps14.xml><?xml version="1.0" encoding="utf-8"?>
<ds:datastoreItem xmlns:ds="http://schemas.openxmlformats.org/officeDocument/2006/customXml" ds:itemID="{593B3EE1-8800-4B1C-A0AF-57FA1D28B3AA}">
  <ds:schemaRefs/>
</ds:datastoreItem>
</file>

<file path=customXml/itemProps15.xml><?xml version="1.0" encoding="utf-8"?>
<ds:datastoreItem xmlns:ds="http://schemas.openxmlformats.org/officeDocument/2006/customXml" ds:itemID="{05256BFF-E9C0-459D-A998-7328D86E18A9}">
  <ds:schemaRefs/>
</ds:datastoreItem>
</file>

<file path=customXml/itemProps16.xml><?xml version="1.0" encoding="utf-8"?>
<ds:datastoreItem xmlns:ds="http://schemas.openxmlformats.org/officeDocument/2006/customXml" ds:itemID="{487338AA-25B3-484A-93E4-0C7024C510D1}">
  <ds:schemaRefs/>
</ds:datastoreItem>
</file>

<file path=customXml/itemProps17.xml><?xml version="1.0" encoding="utf-8"?>
<ds:datastoreItem xmlns:ds="http://schemas.openxmlformats.org/officeDocument/2006/customXml" ds:itemID="{E75F2077-6231-4358-8E81-00915DF4AB6F}">
  <ds:schemaRefs/>
</ds:datastoreItem>
</file>

<file path=customXml/itemProps18.xml><?xml version="1.0" encoding="utf-8"?>
<ds:datastoreItem xmlns:ds="http://schemas.openxmlformats.org/officeDocument/2006/customXml" ds:itemID="{87B4240B-5B0F-47B4-A76D-5BF07D9EC40C}">
  <ds:schemaRefs/>
</ds:datastoreItem>
</file>

<file path=customXml/itemProps19.xml><?xml version="1.0" encoding="utf-8"?>
<ds:datastoreItem xmlns:ds="http://schemas.openxmlformats.org/officeDocument/2006/customXml" ds:itemID="{1E2A68C1-D35D-42AD-99F7-B63ADEE3D016}">
  <ds:schemaRefs/>
</ds:datastoreItem>
</file>

<file path=customXml/itemProps20.xml><?xml version="1.0" encoding="utf-8"?>
<ds:datastoreItem xmlns:ds="http://schemas.openxmlformats.org/officeDocument/2006/customXml" ds:itemID="{4CFF66E2-2178-458E-A280-E59D2EDF7636}">
  <ds:schemaRefs/>
</ds:datastoreItem>
</file>

<file path=customXml/itemProps21.xml><?xml version="1.0" encoding="utf-8"?>
<ds:datastoreItem xmlns:ds="http://schemas.openxmlformats.org/officeDocument/2006/customXml" ds:itemID="{AA90725D-40B2-46A6-99FE-116D1F38EDA2}">
  <ds:schemaRefs/>
</ds:datastoreItem>
</file>

<file path=customXml/itemProps22.xml><?xml version="1.0" encoding="utf-8"?>
<ds:datastoreItem xmlns:ds="http://schemas.openxmlformats.org/officeDocument/2006/customXml" ds:itemID="{32111AA2-5D4B-4ADA-A7F7-1F5BFF9EF5B2}">
  <ds:schemaRefs>
    <ds:schemaRef ds:uri="http://schemas.microsoft.com/DataMashup"/>
  </ds:schemaRefs>
</ds:datastoreItem>
</file>

<file path=customXml/itemProps23.xml><?xml version="1.0" encoding="utf-8"?>
<ds:datastoreItem xmlns:ds="http://schemas.openxmlformats.org/officeDocument/2006/customXml" ds:itemID="{6235148D-E5DD-4DF2-AC4C-CB868EAE84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Syrek</dc:creator>
  <cp:lastModifiedBy>David Syrek</cp:lastModifiedBy>
  <dcterms:created xsi:type="dcterms:W3CDTF">2015-06-05T18:17:20Z</dcterms:created>
  <dcterms:modified xsi:type="dcterms:W3CDTF">2026-04-04T08:56:57Z</dcterms:modified>
</cp:coreProperties>
</file>